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價值股Top10" sheetId="1" state="visible" r:id="rId3"/>
    <sheet name="備選與剔除" sheetId="2" state="visible" r:id="rId4"/>
    <sheet name="季資料" sheetId="3" state="visible" r:id="rId5"/>
    <sheet name="篩選規則與來源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52 </t>
        </r>
        <r>
          <rPr>
            <sz val="10"/>
            <rFont val="Noto Sans CJK SC"/>
            <family val="2"/>
          </rPr>
          <t xml:space="preserve">週（</t>
        </r>
        <r>
          <rPr>
            <sz val="10"/>
            <rFont val="Arial"/>
            <family val="2"/>
          </rPr>
          <t xml:space="preserve">2025/10/17</t>
        </r>
        <r>
          <rPr>
            <sz val="10"/>
            <rFont val="Noto Sans CJK SC"/>
            <family val="2"/>
          </rPr>
          <t xml:space="preserve">～</t>
        </r>
        <r>
          <rPr>
            <sz val="10"/>
            <rFont val="Arial"/>
            <family val="2"/>
          </rPr>
          <t xml:space="preserve">2026/10/16</t>
        </r>
        <r>
          <rPr>
            <sz val="10"/>
            <rFont val="Noto Sans CJK SC"/>
            <family val="2"/>
          </rPr>
          <t xml:space="preserve">）每日最低價中的最低值，用證交所／櫃買每日收盤行情計算</t>
        </r>
      </text>
    </comment>
    <comment ref="L1" authorId="0">
      <text>
        <r>
          <rPr>
            <sz val="10"/>
            <rFont val="Arial"/>
            <family val="2"/>
          </rPr>
          <t xml:space="preserve">Yahoo </t>
        </r>
        <r>
          <rPr>
            <sz val="10"/>
            <rFont val="Noto Sans CJK SC"/>
            <family val="2"/>
          </rPr>
          <t xml:space="preserve">股市單季 </t>
        </r>
        <r>
          <rPr>
            <sz val="10"/>
            <rFont val="Arial"/>
            <family val="2"/>
          </rPr>
          <t xml:space="preserve">EPS </t>
        </r>
        <r>
          <rPr>
            <sz val="10"/>
            <rFont val="Noto Sans CJK SC"/>
            <family val="2"/>
          </rPr>
          <t xml:space="preserve">加總（</t>
        </r>
        <r>
          <rPr>
            <sz val="10"/>
            <rFont val="Arial"/>
            <family val="2"/>
          </rPr>
          <t xml:space="preserve">2025Q3</t>
        </r>
        <r>
          <rPr>
            <sz val="10"/>
            <rFont val="Noto Sans CJK SC"/>
            <family val="2"/>
          </rPr>
          <t xml:space="preserve">～</t>
        </r>
        <r>
          <rPr>
            <sz val="10"/>
            <rFont val="Arial"/>
            <family val="2"/>
          </rPr>
          <t xml:space="preserve">2026Q2</t>
        </r>
        <r>
          <rPr>
            <sz val="10"/>
            <rFont val="Noto Sans CJK SC"/>
            <family val="2"/>
          </rPr>
          <t xml:space="preserve">），已和證交所／櫃買本益比反推值交叉比對</t>
        </r>
      </text>
    </comment>
    <comment ref="Y1" authorId="0">
      <text>
        <r>
          <rPr>
            <sz val="10"/>
            <rFont val="Noto Sans CJK SC"/>
            <family val="2"/>
          </rPr>
          <t xml:space="preserve">本益比、淨值比、殖利率、距低點四項在 </t>
        </r>
        <r>
          <rPr>
            <sz val="10"/>
            <rFont val="Arial"/>
            <family val="2"/>
          </rPr>
          <t xml:space="preserve">34 </t>
        </r>
        <r>
          <rPr>
            <sz val="10"/>
            <rFont val="Noto Sans CJK SC"/>
            <family val="2"/>
          </rPr>
          <t xml:space="preserve">檔通過名單中的百分位平均（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～</t>
        </r>
        <r>
          <rPr>
            <sz val="10"/>
            <rFont val="Arial"/>
            <family val="2"/>
          </rPr>
          <t xml:space="preserve">100</t>
        </r>
        <r>
          <rPr>
            <sz val="10"/>
            <rFont val="Noto Sans CJK SC"/>
            <family val="2"/>
          </rPr>
          <t xml:space="preserve">，越高越便宜）</t>
        </r>
      </text>
    </comment>
  </commentList>
</comments>
</file>

<file path=xl/sharedStrings.xml><?xml version="1.0" encoding="utf-8"?>
<sst xmlns="http://schemas.openxmlformats.org/spreadsheetml/2006/main" count="335" uniqueCount="235">
  <si>
    <t xml:space="preserve">排名</t>
  </si>
  <si>
    <t xml:space="preserve">代號</t>
  </si>
  <si>
    <t xml:space="preserve">公司</t>
  </si>
  <si>
    <t xml:space="preserve">市場</t>
  </si>
  <si>
    <t xml:space="preserve">產業</t>
  </si>
  <si>
    <r>
      <rPr>
        <b val="true"/>
        <sz val="11"/>
        <color rgb="FFFFFFFF"/>
        <rFont val="Noto Sans CJK SC"/>
        <family val="2"/>
      </rPr>
      <t xml:space="preserve">發行股數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百萬股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</si>
  <si>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收盤價</t>
    </r>
    <r>
      <rPr>
        <b val="true"/>
        <sz val="11"/>
        <color rgb="FFFFFFFF"/>
        <rFont val="Arial"/>
        <family val="0"/>
        <charset val="1"/>
      </rPr>
      <t xml:space="preserve">(10/16)</t>
    </r>
  </si>
  <si>
    <r>
      <rPr>
        <b val="true"/>
        <sz val="11"/>
        <color rgb="FFFFFFFF"/>
        <rFont val="Noto Sans CJK SC"/>
        <family val="2"/>
      </rPr>
      <t xml:space="preserve">市值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億元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</si>
  <si>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52</t>
    </r>
    <r>
      <rPr>
        <b val="true"/>
        <sz val="11"/>
        <color rgb="FFFFFFFF"/>
        <rFont val="Noto Sans CJK SC"/>
        <family val="2"/>
      </rPr>
      <t xml:space="preserve">週低點</t>
    </r>
  </si>
  <si>
    <t xml:space="preserve">低點日期</t>
  </si>
  <si>
    <r>
      <rPr>
        <b val="true"/>
        <sz val="11"/>
        <color rgb="FFFFFFFF"/>
        <rFont val="Noto Sans CJK SC"/>
        <family val="2"/>
      </rPr>
      <t xml:space="preserve">距低點</t>
    </r>
    <r>
      <rPr>
        <b val="true"/>
        <sz val="11"/>
        <color rgb="FFFFFFFF"/>
        <rFont val="Arial"/>
        <family val="0"/>
        <charset val="1"/>
      </rPr>
      <t xml:space="preserve">%</t>
    </r>
  </si>
  <si>
    <r>
      <rPr>
        <b val="true"/>
        <sz val="11"/>
        <color rgb="FFFFFFFF"/>
        <rFont val="Noto Sans CJK SC"/>
        <family val="2"/>
      </rPr>
      <t xml:space="preserve">近四季</t>
    </r>
    <r>
      <rPr>
        <b val="true"/>
        <sz val="11"/>
        <color rgb="FFFFFFFF"/>
        <rFont val="Arial"/>
        <family val="0"/>
        <charset val="1"/>
      </rPr>
      <t xml:space="preserve">EPS(</t>
    </r>
    <r>
      <rPr>
        <b val="true"/>
        <sz val="11"/>
        <color rgb="FFFFFFFF"/>
        <rFont val="Noto Sans CJK SC"/>
        <family val="2"/>
      </rPr>
      <t xml:space="preserve">元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</si>
  <si>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TTM P/E</t>
  </si>
  <si>
    <t xml:space="preserve">P/B</t>
  </si>
  <si>
    <r>
      <rPr>
        <b val="true"/>
        <sz val="11"/>
        <color rgb="FFFFFFFF"/>
        <rFont val="Noto Sans CJK SC"/>
        <family val="2"/>
      </rPr>
      <t xml:space="preserve">殖利率</t>
    </r>
    <r>
      <rPr>
        <b val="true"/>
        <sz val="11"/>
        <color rgb="FFFFFFFF"/>
        <rFont val="Arial"/>
        <family val="0"/>
        <charset val="1"/>
      </rPr>
      <t xml:space="preserve">%</t>
    </r>
  </si>
  <si>
    <t xml:space="preserve">營收月份</t>
  </si>
  <si>
    <t xml:space="preserve">近月營收年增率</t>
  </si>
  <si>
    <t xml:space="preserve">累計營收年增率</t>
  </si>
  <si>
    <r>
      <rPr>
        <b val="true"/>
        <sz val="11"/>
        <color rgb="FFFFFFFF"/>
        <rFont val="Noto Sans CJK SC"/>
        <family val="2"/>
      </rPr>
      <t xml:space="preserve">上半年</t>
    </r>
    <r>
      <rPr>
        <b val="true"/>
        <sz val="11"/>
        <color rgb="FFFFFFFF"/>
        <rFont val="Arial"/>
        <family val="0"/>
        <charset val="1"/>
      </rPr>
      <t xml:space="preserve">EPS</t>
    </r>
    <r>
      <rPr>
        <b val="true"/>
        <sz val="11"/>
        <color rgb="FFFFFFFF"/>
        <rFont val="Noto Sans CJK SC"/>
        <family val="2"/>
      </rPr>
      <t xml:space="preserve">年增率</t>
    </r>
  </si>
  <si>
    <r>
      <rPr>
        <b val="true"/>
        <sz val="11"/>
        <color rgb="FFFFFFFF"/>
        <rFont val="Noto Sans CJK SC"/>
        <family val="2"/>
      </rPr>
      <t xml:space="preserve">近四季營業現金流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</si>
  <si>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近四季自由現金流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億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</si>
  <si>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負債比</t>
  </si>
  <si>
    <r>
      <rPr>
        <b val="true"/>
        <sz val="11"/>
        <color rgb="FFFFFFFF"/>
        <rFont val="Arial"/>
        <family val="0"/>
        <charset val="1"/>
      </rPr>
      <t xml:space="preserve">ROE(</t>
    </r>
    <r>
      <rPr>
        <b val="true"/>
        <sz val="11"/>
        <color rgb="FFFFFFFF"/>
        <rFont val="Noto Sans CJK SC"/>
        <family val="2"/>
      </rPr>
      <t xml:space="preserve">上半年年化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</si>
  <si>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20</t>
    </r>
    <r>
      <rPr>
        <b val="true"/>
        <sz val="11"/>
        <color rgb="FFFFFFFF"/>
        <rFont val="Noto Sans CJK SC"/>
        <family val="2"/>
      </rPr>
      <t xml:space="preserve">日均量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張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</si>
  <si>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價值評分</t>
  </si>
  <si>
    <t xml:space="preserve">投資論點（分析判斷）</t>
  </si>
  <si>
    <t xml:space="preserve">催化劑（分析判斷）</t>
  </si>
  <si>
    <t xml:space="preserve">主要風險（分析判斷）</t>
  </si>
  <si>
    <t xml:space="preserve">2204</t>
  </si>
  <si>
    <t xml:space="preserve">中華</t>
  </si>
  <si>
    <t xml:space="preserve">上市</t>
  </si>
  <si>
    <t xml:space="preserve">汽車工業</t>
  </si>
  <si>
    <t xml:space="preserve">2026/08/04</t>
  </si>
  <si>
    <t xml:space="preserve">115/09</t>
  </si>
  <si>
    <r>
      <rPr>
        <sz val="11"/>
        <color rgb="FF0000FF"/>
        <rFont val="Noto Sans CJK SC"/>
        <family val="2"/>
      </rPr>
      <t xml:space="preserve">本益比約 </t>
    </r>
    <r>
      <rPr>
        <sz val="11"/>
        <color rgb="FF0000FF"/>
        <rFont val="Arial"/>
        <family val="0"/>
        <charset val="1"/>
      </rPr>
      <t xml:space="preserve">8.5 </t>
    </r>
    <r>
      <rPr>
        <sz val="11"/>
        <color rgb="FF0000FF"/>
        <rFont val="Noto Sans CJK SC"/>
        <family val="2"/>
      </rPr>
      <t xml:space="preserve">倍、淨值比 </t>
    </r>
    <r>
      <rPr>
        <sz val="11"/>
        <color rgb="FF0000FF"/>
        <rFont val="Arial"/>
        <family val="0"/>
        <charset val="1"/>
      </rPr>
      <t xml:space="preserve">0.77</t>
    </r>
    <r>
      <rPr>
        <sz val="11"/>
        <color rgb="FF0000FF"/>
        <rFont val="Noto Sans CJK SC"/>
        <family val="2"/>
      </rPr>
      <t xml:space="preserve">、殖利率 </t>
    </r>
    <r>
      <rPr>
        <sz val="11"/>
        <color rgb="FF0000FF"/>
        <rFont val="Arial"/>
        <family val="0"/>
        <charset val="1"/>
      </rPr>
      <t xml:space="preserve">6.8%</t>
    </r>
    <r>
      <rPr>
        <sz val="11"/>
        <color rgb="FF0000FF"/>
        <rFont val="Noto Sans CJK SC"/>
        <family val="2"/>
      </rPr>
      <t xml:space="preserve">，估值在名單中最便宜之一；負債比 </t>
    </r>
    <r>
      <rPr>
        <sz val="11"/>
        <color rgb="FF0000FF"/>
        <rFont val="Arial"/>
        <family val="0"/>
        <charset val="1"/>
      </rPr>
      <t xml:space="preserve">24%</t>
    </r>
    <r>
      <rPr>
        <sz val="11"/>
        <color rgb="FF0000FF"/>
        <rFont val="Noto Sans CJK SC"/>
        <family val="2"/>
      </rPr>
      <t xml:space="preserve">、近四季自由現金流為正</t>
    </r>
  </si>
  <si>
    <r>
      <rPr>
        <sz val="11"/>
        <color rgb="FF0000FF"/>
        <rFont val="Arial"/>
        <family val="0"/>
        <charset val="1"/>
      </rPr>
      <t xml:space="preserve">Q2 EPS 2.02 </t>
    </r>
    <r>
      <rPr>
        <sz val="11"/>
        <color rgb="FF0000FF"/>
        <rFont val="Noto Sans CJK SC"/>
        <family val="2"/>
      </rPr>
      <t xml:space="preserve">元、年增 </t>
    </r>
    <r>
      <rPr>
        <sz val="11"/>
        <color rgb="FF0000FF"/>
        <rFont val="Arial"/>
        <family val="0"/>
        <charset val="1"/>
      </rPr>
      <t xml:space="preserve">58%</t>
    </r>
    <r>
      <rPr>
        <sz val="11"/>
        <color rgb="FF0000FF"/>
        <rFont val="Noto Sans CJK SC"/>
        <family val="2"/>
      </rPr>
      <t xml:space="preserve">，若下半年維持，近四季 </t>
    </r>
    <r>
      <rPr>
        <sz val="11"/>
        <color rgb="FF0000FF"/>
        <rFont val="Arial"/>
        <family val="0"/>
        <charset val="1"/>
      </rPr>
      <t xml:space="preserve">EPS </t>
    </r>
    <r>
      <rPr>
        <sz val="11"/>
        <color rgb="FF0000FF"/>
        <rFont val="Noto Sans CJK SC"/>
        <family val="2"/>
      </rPr>
      <t xml:space="preserve">可續升</t>
    </r>
  </si>
  <si>
    <r>
      <rPr>
        <sz val="11"/>
        <color rgb="FF0000FF"/>
        <rFont val="Noto Sans CJK SC"/>
        <family val="2"/>
      </rPr>
      <t xml:space="preserve">汽車業景氣循環；</t>
    </r>
    <r>
      <rPr>
        <sz val="11"/>
        <color rgb="FF0000FF"/>
        <rFont val="Arial"/>
        <family val="0"/>
        <charset val="1"/>
      </rPr>
      <t xml:space="preserve">Q1 </t>
    </r>
    <r>
      <rPr>
        <sz val="11"/>
        <color rgb="FF0000FF"/>
        <rFont val="Noto Sans CJK SC"/>
        <family val="2"/>
      </rPr>
      <t xml:space="preserve">營業現金流為負，現金流季度波動大</t>
    </r>
  </si>
  <si>
    <t xml:space="preserve">1307</t>
  </si>
  <si>
    <t xml:space="preserve">三芳</t>
  </si>
  <si>
    <t xml:space="preserve">塑膠工業</t>
  </si>
  <si>
    <t xml:space="preserve">2025/10/17</t>
  </si>
  <si>
    <r>
      <rPr>
        <sz val="11"/>
        <color rgb="FF0000FF"/>
        <rFont val="Noto Sans CJK SC"/>
        <family val="2"/>
      </rPr>
      <t xml:space="preserve">本益比約 </t>
    </r>
    <r>
      <rPr>
        <sz val="11"/>
        <color rgb="FF0000FF"/>
        <rFont val="Arial"/>
        <family val="0"/>
        <charset val="1"/>
      </rPr>
      <t xml:space="preserve">9.4 </t>
    </r>
    <r>
      <rPr>
        <sz val="11"/>
        <color rgb="FF0000FF"/>
        <rFont val="Noto Sans CJK SC"/>
        <family val="2"/>
      </rPr>
      <t xml:space="preserve">倍、殖利率 </t>
    </r>
    <r>
      <rPr>
        <sz val="11"/>
        <color rgb="FF0000FF"/>
        <rFont val="Arial"/>
        <family val="0"/>
        <charset val="1"/>
      </rPr>
      <t xml:space="preserve">7.0%</t>
    </r>
    <r>
      <rPr>
        <sz val="11"/>
        <color rgb="FF0000FF"/>
        <rFont val="Noto Sans CJK SC"/>
        <family val="2"/>
      </rPr>
      <t xml:space="preserve">；負債比 </t>
    </r>
    <r>
      <rPr>
        <sz val="11"/>
        <color rgb="FF0000FF"/>
        <rFont val="Arial"/>
        <family val="0"/>
        <charset val="1"/>
      </rPr>
      <t xml:space="preserve">47%</t>
    </r>
    <r>
      <rPr>
        <sz val="11"/>
        <color rgb="FF0000FF"/>
        <rFont val="Noto Sans CJK SC"/>
        <family val="2"/>
      </rPr>
      <t xml:space="preserve">，近四季營業現金流為正</t>
    </r>
  </si>
  <si>
    <r>
      <rPr>
        <sz val="11"/>
        <color rgb="FF0000FF"/>
        <rFont val="Noto Sans CJK SC"/>
        <family val="2"/>
      </rPr>
      <t xml:space="preserve">上半年 </t>
    </r>
    <r>
      <rPr>
        <sz val="11"/>
        <color rgb="FF0000FF"/>
        <rFont val="Arial"/>
        <family val="0"/>
        <charset val="1"/>
      </rPr>
      <t xml:space="preserve">EPS </t>
    </r>
    <r>
      <rPr>
        <sz val="11"/>
        <color rgb="FF0000FF"/>
        <rFont val="Noto Sans CJK SC"/>
        <family val="2"/>
      </rPr>
      <t xml:space="preserve">年增 </t>
    </r>
    <r>
      <rPr>
        <sz val="11"/>
        <color rgb="FF0000FF"/>
        <rFont val="Arial"/>
        <family val="0"/>
        <charset val="1"/>
      </rPr>
      <t xml:space="preserve">52%</t>
    </r>
    <r>
      <rPr>
        <sz val="11"/>
        <color rgb="FF0000FF"/>
        <rFont val="Noto Sans CJK SC"/>
        <family val="2"/>
      </rPr>
      <t xml:space="preserve">（去年 </t>
    </r>
    <r>
      <rPr>
        <sz val="11"/>
        <color rgb="FF0000FF"/>
        <rFont val="Arial"/>
        <family val="0"/>
        <charset val="1"/>
      </rPr>
      <t xml:space="preserve">Q2 </t>
    </r>
    <r>
      <rPr>
        <sz val="11"/>
        <color rgb="FF0000FF"/>
        <rFont val="Noto Sans CJK SC"/>
        <family val="2"/>
      </rPr>
      <t xml:space="preserve">有虧損，基期低）</t>
    </r>
  </si>
  <si>
    <r>
      <rPr>
        <sz val="11"/>
        <color rgb="FF0000FF"/>
        <rFont val="Arial"/>
        <family val="0"/>
        <charset val="1"/>
      </rPr>
      <t xml:space="preserve">Q2 EPS </t>
    </r>
    <r>
      <rPr>
        <sz val="11"/>
        <color rgb="FF0000FF"/>
        <rFont val="Noto Sans CJK SC"/>
        <family val="2"/>
      </rPr>
      <t xml:space="preserve">季減 </t>
    </r>
    <r>
      <rPr>
        <sz val="11"/>
        <color rgb="FF0000FF"/>
        <rFont val="Arial"/>
        <family val="0"/>
        <charset val="1"/>
      </rPr>
      <t xml:space="preserve">49%</t>
    </r>
    <r>
      <rPr>
        <sz val="11"/>
        <color rgb="FF0000FF"/>
        <rFont val="Noto Sans CJK SC"/>
        <family val="2"/>
      </rPr>
      <t xml:space="preserve">、</t>
    </r>
    <r>
      <rPr>
        <sz val="11"/>
        <color rgb="FF0000FF"/>
        <rFont val="Arial"/>
        <family val="0"/>
        <charset val="1"/>
      </rPr>
      <t xml:space="preserve">Q2 </t>
    </r>
    <r>
      <rPr>
        <sz val="11"/>
        <color rgb="FF0000FF"/>
        <rFont val="Noto Sans CJK SC"/>
        <family val="2"/>
      </rPr>
      <t xml:space="preserve">營業現金流為負；近四季自由現金流僅約打平</t>
    </r>
  </si>
  <si>
    <t xml:space="preserve">2504</t>
  </si>
  <si>
    <t xml:space="preserve">國產</t>
  </si>
  <si>
    <t xml:space="preserve">建材營造</t>
  </si>
  <si>
    <t xml:space="preserve">2026/08/07</t>
  </si>
  <si>
    <r>
      <rPr>
        <sz val="11"/>
        <color rgb="FF0000FF"/>
        <rFont val="Noto Sans CJK SC"/>
        <family val="2"/>
      </rPr>
      <t xml:space="preserve">本益比約 </t>
    </r>
    <r>
      <rPr>
        <sz val="11"/>
        <color rgb="FF0000FF"/>
        <rFont val="Arial"/>
        <family val="0"/>
        <charset val="1"/>
      </rPr>
      <t xml:space="preserve">10 </t>
    </r>
    <r>
      <rPr>
        <sz val="11"/>
        <color rgb="FF0000FF"/>
        <rFont val="Noto Sans CJK SC"/>
        <family val="2"/>
      </rPr>
      <t xml:space="preserve">倍、殖利率 </t>
    </r>
    <r>
      <rPr>
        <sz val="11"/>
        <color rgb="FF0000FF"/>
        <rFont val="Arial"/>
        <family val="0"/>
        <charset val="1"/>
      </rPr>
      <t xml:space="preserve">8.1%</t>
    </r>
    <r>
      <rPr>
        <sz val="11"/>
        <color rgb="FF0000FF"/>
        <rFont val="Noto Sans CJK SC"/>
        <family val="2"/>
      </rPr>
      <t xml:space="preserve">（名單最高）；近四季營業現金流 </t>
    </r>
    <r>
      <rPr>
        <sz val="11"/>
        <color rgb="FF0000FF"/>
        <rFont val="Arial"/>
        <family val="0"/>
        <charset val="1"/>
      </rPr>
      <t xml:space="preserve">51.5 </t>
    </r>
    <r>
      <rPr>
        <sz val="11"/>
        <color rgb="FF0000FF"/>
        <rFont val="Noto Sans CJK SC"/>
        <family val="2"/>
      </rPr>
      <t xml:space="preserve">億、自由現金流為正</t>
    </r>
  </si>
  <si>
    <r>
      <rPr>
        <sz val="11"/>
        <color rgb="FF0000FF"/>
        <rFont val="Noto Sans CJK SC"/>
        <family val="2"/>
      </rPr>
      <t xml:space="preserve">近四季營業現金流穩定為正（每季都 </t>
    </r>
    <r>
      <rPr>
        <sz val="11"/>
        <color rgb="FF0000FF"/>
        <rFont val="Arial"/>
        <family val="0"/>
        <charset val="1"/>
      </rPr>
      <t xml:space="preserve">&gt; 0</t>
    </r>
    <r>
      <rPr>
        <sz val="11"/>
        <color rgb="FF0000FF"/>
        <rFont val="Noto Sans CJK SC"/>
        <family val="2"/>
      </rPr>
      <t xml:space="preserve">），可留意下一次配息政策</t>
    </r>
  </si>
  <si>
    <t xml:space="preserve">營建／建材景氣與房市政策；高殖利率需確認配息能否維持</t>
  </si>
  <si>
    <t xml:space="preserve">1210</t>
  </si>
  <si>
    <t xml:space="preserve">大成</t>
  </si>
  <si>
    <t xml:space="preserve">食品工業</t>
  </si>
  <si>
    <t xml:space="preserve">2026/03/06</t>
  </si>
  <si>
    <r>
      <rPr>
        <sz val="11"/>
        <color rgb="FF0000FF"/>
        <rFont val="Noto Sans CJK SC"/>
        <family val="2"/>
      </rPr>
      <t xml:space="preserve">本益比約 </t>
    </r>
    <r>
      <rPr>
        <sz val="11"/>
        <color rgb="FF0000FF"/>
        <rFont val="Arial"/>
        <family val="0"/>
        <charset val="1"/>
      </rPr>
      <t xml:space="preserve">12.7 </t>
    </r>
    <r>
      <rPr>
        <sz val="11"/>
        <color rgb="FF0000FF"/>
        <rFont val="Noto Sans CJK SC"/>
        <family val="2"/>
      </rPr>
      <t xml:space="preserve">倍、殖利率 </t>
    </r>
    <r>
      <rPr>
        <sz val="11"/>
        <color rgb="FF0000FF"/>
        <rFont val="Arial"/>
        <family val="0"/>
        <charset val="1"/>
      </rPr>
      <t xml:space="preserve">5.8%</t>
    </r>
    <r>
      <rPr>
        <sz val="11"/>
        <color rgb="FF0000FF"/>
        <rFont val="Noto Sans CJK SC"/>
        <family val="2"/>
      </rPr>
      <t xml:space="preserve">；近四季營業現金流 </t>
    </r>
    <r>
      <rPr>
        <sz val="11"/>
        <color rgb="FF0000FF"/>
        <rFont val="Arial"/>
        <family val="0"/>
        <charset val="1"/>
      </rPr>
      <t xml:space="preserve">64.7 </t>
    </r>
    <r>
      <rPr>
        <sz val="11"/>
        <color rgb="FF0000FF"/>
        <rFont val="Noto Sans CJK SC"/>
        <family val="2"/>
      </rPr>
      <t xml:space="preserve">億</t>
    </r>
  </si>
  <si>
    <r>
      <rPr>
        <sz val="11"/>
        <color rgb="FF0000FF"/>
        <rFont val="Arial"/>
        <family val="0"/>
        <charset val="1"/>
      </rPr>
      <t xml:space="preserve">9 </t>
    </r>
    <r>
      <rPr>
        <sz val="11"/>
        <color rgb="FF0000FF"/>
        <rFont val="Noto Sans CJK SC"/>
        <family val="2"/>
      </rPr>
      <t xml:space="preserve">月營收年增 </t>
    </r>
    <r>
      <rPr>
        <sz val="11"/>
        <color rgb="FF0000FF"/>
        <rFont val="Arial"/>
        <family val="0"/>
        <charset val="1"/>
      </rPr>
      <t xml:space="preserve">13%</t>
    </r>
  </si>
  <si>
    <r>
      <rPr>
        <sz val="11"/>
        <color rgb="FF0000FF"/>
        <rFont val="Noto Sans CJK SC"/>
        <family val="2"/>
      </rPr>
      <t xml:space="preserve">上半年 </t>
    </r>
    <r>
      <rPr>
        <sz val="11"/>
        <color rgb="FF0000FF"/>
        <rFont val="Arial"/>
        <family val="0"/>
        <charset val="1"/>
      </rPr>
      <t xml:space="preserve">EPS </t>
    </r>
    <r>
      <rPr>
        <sz val="11"/>
        <color rgb="FF0000FF"/>
        <rFont val="Noto Sans CJK SC"/>
        <family val="2"/>
      </rPr>
      <t xml:space="preserve">年減 </t>
    </r>
    <r>
      <rPr>
        <sz val="11"/>
        <color rgb="FF0000FF"/>
        <rFont val="Arial"/>
        <family val="0"/>
        <charset val="1"/>
      </rPr>
      <t xml:space="preserve">15%</t>
    </r>
    <r>
      <rPr>
        <sz val="11"/>
        <color rgb="FF0000FF"/>
        <rFont val="Noto Sans CJK SC"/>
        <family val="2"/>
      </rPr>
      <t xml:space="preserve">、近兩季 </t>
    </r>
    <r>
      <rPr>
        <sz val="11"/>
        <color rgb="FF0000FF"/>
        <rFont val="Arial"/>
        <family val="0"/>
        <charset val="1"/>
      </rPr>
      <t xml:space="preserve">EPS </t>
    </r>
    <r>
      <rPr>
        <sz val="11"/>
        <color rgb="FF0000FF"/>
        <rFont val="Noto Sans CJK SC"/>
        <family val="2"/>
      </rPr>
      <t xml:space="preserve">都是年減；近四季自由現金流為負（投資支出大）</t>
    </r>
  </si>
  <si>
    <t xml:space="preserve">9958</t>
  </si>
  <si>
    <t xml:space="preserve">世紀鋼</t>
  </si>
  <si>
    <t xml:space="preserve">鋼鐵工業</t>
  </si>
  <si>
    <t xml:space="preserve">2026/09/04</t>
  </si>
  <si>
    <r>
      <rPr>
        <sz val="11"/>
        <color rgb="FF0000FF"/>
        <rFont val="Noto Sans CJK SC"/>
        <family val="2"/>
      </rPr>
      <t xml:space="preserve">股價幾乎貼著 </t>
    </r>
    <r>
      <rPr>
        <sz val="11"/>
        <color rgb="FF0000FF"/>
        <rFont val="Arial"/>
        <family val="0"/>
        <charset val="1"/>
      </rPr>
      <t xml:space="preserve">52 </t>
    </r>
    <r>
      <rPr>
        <sz val="11"/>
        <color rgb="FF0000FF"/>
        <rFont val="Noto Sans CJK SC"/>
        <family val="2"/>
      </rPr>
      <t xml:space="preserve">週低點（距 </t>
    </r>
    <r>
      <rPr>
        <sz val="11"/>
        <color rgb="FF0000FF"/>
        <rFont val="Arial"/>
        <family val="0"/>
        <charset val="1"/>
      </rPr>
      <t xml:space="preserve">0.1%</t>
    </r>
    <r>
      <rPr>
        <sz val="11"/>
        <color rgb="FF0000FF"/>
        <rFont val="Noto Sans CJK SC"/>
        <family val="2"/>
      </rPr>
      <t xml:space="preserve">），本益比約 </t>
    </r>
    <r>
      <rPr>
        <sz val="11"/>
        <color rgb="FF0000FF"/>
        <rFont val="Arial"/>
        <family val="0"/>
        <charset val="1"/>
      </rPr>
      <t xml:space="preserve">12.4 </t>
    </r>
    <r>
      <rPr>
        <sz val="11"/>
        <color rgb="FF0000FF"/>
        <rFont val="Noto Sans CJK SC"/>
        <family val="2"/>
      </rPr>
      <t xml:space="preserve">倍、</t>
    </r>
    <r>
      <rPr>
        <sz val="11"/>
        <color rgb="FF0000FF"/>
        <rFont val="Arial"/>
        <family val="0"/>
        <charset val="1"/>
      </rPr>
      <t xml:space="preserve">ROE 17%</t>
    </r>
  </si>
  <si>
    <r>
      <rPr>
        <sz val="11"/>
        <color rgb="FF0000FF"/>
        <rFont val="Arial"/>
        <family val="0"/>
        <charset val="1"/>
      </rPr>
      <t xml:space="preserve">9 </t>
    </r>
    <r>
      <rPr>
        <sz val="11"/>
        <color rgb="FF0000FF"/>
        <rFont val="Noto Sans CJK SC"/>
        <family val="2"/>
      </rPr>
      <t xml:space="preserve">月營收年增 </t>
    </r>
    <r>
      <rPr>
        <sz val="11"/>
        <color rgb="FF0000FF"/>
        <rFont val="Arial"/>
        <family val="0"/>
        <charset val="1"/>
      </rPr>
      <t xml:space="preserve">83%</t>
    </r>
    <r>
      <rPr>
        <sz val="11"/>
        <color rgb="FF0000FF"/>
        <rFont val="Noto Sans CJK SC"/>
        <family val="2"/>
      </rPr>
      <t xml:space="preserve">，可留意 </t>
    </r>
    <r>
      <rPr>
        <sz val="11"/>
        <color rgb="FF0000FF"/>
        <rFont val="Arial"/>
        <family val="0"/>
        <charset val="1"/>
      </rPr>
      <t xml:space="preserve">Q3 </t>
    </r>
    <r>
      <rPr>
        <sz val="11"/>
        <color rgb="FF0000FF"/>
        <rFont val="Noto Sans CJK SC"/>
        <family val="2"/>
      </rPr>
      <t xml:space="preserve">財報是否反映</t>
    </r>
  </si>
  <si>
    <r>
      <rPr>
        <sz val="11"/>
        <color rgb="FF0000FF"/>
        <rFont val="Arial"/>
        <family val="0"/>
        <charset val="1"/>
      </rPr>
      <t xml:space="preserve">Q2 </t>
    </r>
    <r>
      <rPr>
        <sz val="11"/>
        <color rgb="FF0000FF"/>
        <rFont val="Noto Sans CJK SC"/>
        <family val="2"/>
      </rPr>
      <t xml:space="preserve">投資現金流 </t>
    </r>
    <r>
      <rPr>
        <sz val="11"/>
        <color rgb="FF0000FF"/>
        <rFont val="Arial"/>
        <family val="0"/>
        <charset val="1"/>
      </rPr>
      <t xml:space="preserve">-93.7 </t>
    </r>
    <r>
      <rPr>
        <sz val="11"/>
        <color rgb="FF0000FF"/>
        <rFont val="Noto Sans CJK SC"/>
        <family val="2"/>
      </rPr>
      <t xml:space="preserve">億，近四季自由現金流 </t>
    </r>
    <r>
      <rPr>
        <sz val="11"/>
        <color rgb="FF0000FF"/>
        <rFont val="Arial"/>
        <family val="0"/>
        <charset val="1"/>
      </rPr>
      <t xml:space="preserve">-75 </t>
    </r>
    <r>
      <rPr>
        <sz val="11"/>
        <color rgb="FF0000FF"/>
        <rFont val="Noto Sans CJK SC"/>
        <family val="2"/>
      </rPr>
      <t xml:space="preserve">億；</t>
    </r>
    <r>
      <rPr>
        <sz val="11"/>
        <color rgb="FF0000FF"/>
        <rFont val="Arial"/>
        <family val="0"/>
        <charset val="1"/>
      </rPr>
      <t xml:space="preserve">Q2 EPS </t>
    </r>
    <r>
      <rPr>
        <sz val="11"/>
        <color rgb="FF0000FF"/>
        <rFont val="Noto Sans CJK SC"/>
        <family val="2"/>
      </rPr>
      <t xml:space="preserve">年減 </t>
    </r>
    <r>
      <rPr>
        <sz val="11"/>
        <color rgb="FF0000FF"/>
        <rFont val="Arial"/>
        <family val="0"/>
        <charset val="1"/>
      </rPr>
      <t xml:space="preserve">34%</t>
    </r>
    <r>
      <rPr>
        <sz val="11"/>
        <color rgb="FF0000FF"/>
        <rFont val="Noto Sans CJK SC"/>
        <family val="2"/>
      </rPr>
      <t xml:space="preserve">，單季獲利波動大</t>
    </r>
  </si>
  <si>
    <t xml:space="preserve">9904</t>
  </si>
  <si>
    <t xml:space="preserve">寶成</t>
  </si>
  <si>
    <t xml:space="preserve">運動休閒</t>
  </si>
  <si>
    <t xml:space="preserve">2026/08/06</t>
  </si>
  <si>
    <r>
      <rPr>
        <sz val="11"/>
        <color rgb="FF0000FF"/>
        <rFont val="Noto Sans CJK SC"/>
        <family val="2"/>
      </rPr>
      <t xml:space="preserve">本益比約 </t>
    </r>
    <r>
      <rPr>
        <sz val="11"/>
        <color rgb="FF0000FF"/>
        <rFont val="Arial"/>
        <family val="0"/>
        <charset val="1"/>
      </rPr>
      <t xml:space="preserve">5.6 </t>
    </r>
    <r>
      <rPr>
        <sz val="11"/>
        <color rgb="FF0000FF"/>
        <rFont val="Noto Sans CJK SC"/>
        <family val="2"/>
      </rPr>
      <t xml:space="preserve">倍、淨值比 </t>
    </r>
    <r>
      <rPr>
        <sz val="11"/>
        <color rgb="FF0000FF"/>
        <rFont val="Arial"/>
        <family val="0"/>
        <charset val="1"/>
      </rPr>
      <t xml:space="preserve">0.42</t>
    </r>
    <r>
      <rPr>
        <sz val="11"/>
        <color rgb="FF0000FF"/>
        <rFont val="Noto Sans CJK SC"/>
        <family val="2"/>
      </rPr>
      <t xml:space="preserve">，估值極低；近四季營業現金流 </t>
    </r>
    <r>
      <rPr>
        <sz val="11"/>
        <color rgb="FF0000FF"/>
        <rFont val="Arial"/>
        <family val="0"/>
        <charset val="1"/>
      </rPr>
      <t xml:space="preserve">144 </t>
    </r>
    <r>
      <rPr>
        <sz val="11"/>
        <color rgb="FF0000FF"/>
        <rFont val="Noto Sans CJK SC"/>
        <family val="2"/>
      </rPr>
      <t xml:space="preserve">億</t>
    </r>
  </si>
  <si>
    <r>
      <rPr>
        <sz val="11"/>
        <color rgb="FF0000FF"/>
        <rFont val="Arial"/>
        <family val="0"/>
        <charset val="1"/>
      </rPr>
      <t xml:space="preserve">Q2 EPS 1.61 </t>
    </r>
    <r>
      <rPr>
        <sz val="11"/>
        <color rgb="FF0000FF"/>
        <rFont val="Noto Sans CJK SC"/>
        <family val="2"/>
      </rPr>
      <t xml:space="preserve">元、年增 </t>
    </r>
    <r>
      <rPr>
        <sz val="11"/>
        <color rgb="FF0000FF"/>
        <rFont val="Arial"/>
        <family val="0"/>
        <charset val="1"/>
      </rPr>
      <t xml:space="preserve">204%</t>
    </r>
  </si>
  <si>
    <r>
      <rPr>
        <sz val="11"/>
        <color rgb="FF0000FF"/>
        <rFont val="Noto Sans CJK SC"/>
        <family val="2"/>
      </rPr>
      <t xml:space="preserve">距 </t>
    </r>
    <r>
      <rPr>
        <sz val="11"/>
        <color rgb="FF0000FF"/>
        <rFont val="Arial"/>
        <family val="0"/>
        <charset val="1"/>
      </rPr>
      <t xml:space="preserve">52 </t>
    </r>
    <r>
      <rPr>
        <sz val="11"/>
        <color rgb="FF0000FF"/>
        <rFont val="Noto Sans CJK SC"/>
        <family val="2"/>
      </rPr>
      <t xml:space="preserve">週低點 </t>
    </r>
    <r>
      <rPr>
        <sz val="11"/>
        <color rgb="FF0000FF"/>
        <rFont val="Arial"/>
        <family val="0"/>
        <charset val="1"/>
      </rPr>
      <t xml:space="preserve">13.7%</t>
    </r>
    <r>
      <rPr>
        <sz val="11"/>
        <color rgb="FF0000FF"/>
        <rFont val="Noto Sans CJK SC"/>
        <family val="2"/>
      </rPr>
      <t xml:space="preserve">，接近上限；現金流資料只更新到 </t>
    </r>
    <r>
      <rPr>
        <sz val="11"/>
        <color rgb="FF0000FF"/>
        <rFont val="Arial"/>
        <family val="0"/>
        <charset val="1"/>
      </rPr>
      <t xml:space="preserve">2026Q1</t>
    </r>
    <r>
      <rPr>
        <sz val="11"/>
        <color rgb="FF0000FF"/>
        <rFont val="Noto Sans CJK SC"/>
        <family val="2"/>
      </rPr>
      <t xml:space="preserve">，</t>
    </r>
    <r>
      <rPr>
        <sz val="11"/>
        <color rgb="FF0000FF"/>
        <rFont val="Arial"/>
        <family val="0"/>
        <charset val="1"/>
      </rPr>
      <t xml:space="preserve">Q1 </t>
    </r>
    <r>
      <rPr>
        <sz val="11"/>
        <color rgb="FF0000FF"/>
        <rFont val="Noto Sans CJK SC"/>
        <family val="2"/>
      </rPr>
      <t xml:space="preserve">營業現金流為負</t>
    </r>
  </si>
  <si>
    <t xml:space="preserve">1722</t>
  </si>
  <si>
    <t xml:space="preserve">台肥</t>
  </si>
  <si>
    <t xml:space="preserve">化學工業</t>
  </si>
  <si>
    <t xml:space="preserve">2026/10/05</t>
  </si>
  <si>
    <r>
      <rPr>
        <sz val="11"/>
        <color rgb="FF0000FF"/>
        <rFont val="Noto Sans CJK SC"/>
        <family val="2"/>
      </rPr>
      <t xml:space="preserve">淨值比 </t>
    </r>
    <r>
      <rPr>
        <sz val="11"/>
        <color rgb="FF0000FF"/>
        <rFont val="Arial"/>
        <family val="0"/>
        <charset val="1"/>
      </rPr>
      <t xml:space="preserve">0.78</t>
    </r>
    <r>
      <rPr>
        <sz val="11"/>
        <color rgb="FF0000FF"/>
        <rFont val="Noto Sans CJK SC"/>
        <family val="2"/>
      </rPr>
      <t xml:space="preserve">、殖利率 </t>
    </r>
    <r>
      <rPr>
        <sz val="11"/>
        <color rgb="FF0000FF"/>
        <rFont val="Arial"/>
        <family val="0"/>
        <charset val="1"/>
      </rPr>
      <t xml:space="preserve">4.8%</t>
    </r>
    <r>
      <rPr>
        <sz val="11"/>
        <color rgb="FF0000FF"/>
        <rFont val="Noto Sans CJK SC"/>
        <family val="2"/>
      </rPr>
      <t xml:space="preserve">，資產面便宜</t>
    </r>
  </si>
  <si>
    <r>
      <rPr>
        <sz val="11"/>
        <color rgb="FF0000FF"/>
        <rFont val="Noto Sans CJK SC"/>
        <family val="2"/>
      </rPr>
      <t xml:space="preserve">上半年 </t>
    </r>
    <r>
      <rPr>
        <sz val="11"/>
        <color rgb="FF0000FF"/>
        <rFont val="Arial"/>
        <family val="0"/>
        <charset val="1"/>
      </rPr>
      <t xml:space="preserve">EPS </t>
    </r>
    <r>
      <rPr>
        <sz val="11"/>
        <color rgb="FF0000FF"/>
        <rFont val="Noto Sans CJK SC"/>
        <family val="2"/>
      </rPr>
      <t xml:space="preserve">已轉正（</t>
    </r>
    <r>
      <rPr>
        <sz val="11"/>
        <color rgb="FF0000FF"/>
        <rFont val="Arial"/>
        <family val="0"/>
        <charset val="1"/>
      </rPr>
      <t xml:space="preserve">Q1 0.19</t>
    </r>
    <r>
      <rPr>
        <sz val="11"/>
        <color rgb="FF0000FF"/>
        <rFont val="Noto Sans CJK SC"/>
        <family val="2"/>
      </rPr>
      <t xml:space="preserve">、</t>
    </r>
    <r>
      <rPr>
        <sz val="11"/>
        <color rgb="FF0000FF"/>
        <rFont val="Arial"/>
        <family val="0"/>
        <charset val="1"/>
      </rPr>
      <t xml:space="preserve">Q2 0.24 </t>
    </r>
    <r>
      <rPr>
        <sz val="11"/>
        <color rgb="FF0000FF"/>
        <rFont val="Noto Sans CJK SC"/>
        <family val="2"/>
      </rPr>
      <t xml:space="preserve">元）</t>
    </r>
  </si>
  <si>
    <r>
      <rPr>
        <sz val="11"/>
        <color rgb="FF0000FF"/>
        <rFont val="Noto Sans CJK SC"/>
        <family val="2"/>
      </rPr>
      <t xml:space="preserve">本益比約 </t>
    </r>
    <r>
      <rPr>
        <sz val="11"/>
        <color rgb="FF0000FF"/>
        <rFont val="Arial"/>
        <family val="0"/>
        <charset val="1"/>
      </rPr>
      <t xml:space="preserve">50 </t>
    </r>
    <r>
      <rPr>
        <sz val="11"/>
        <color rgb="FF0000FF"/>
        <rFont val="Noto Sans CJK SC"/>
        <family val="2"/>
      </rPr>
      <t xml:space="preserve">倍，以獲利衡量並不便宜；</t>
    </r>
    <r>
      <rPr>
        <sz val="11"/>
        <color rgb="FF0000FF"/>
        <rFont val="Arial"/>
        <family val="0"/>
        <charset val="1"/>
      </rPr>
      <t xml:space="preserve">2025Q4 </t>
    </r>
    <r>
      <rPr>
        <sz val="11"/>
        <color rgb="FF0000FF"/>
        <rFont val="Noto Sans CJK SC"/>
        <family val="2"/>
      </rPr>
      <t xml:space="preserve">曾虧損，獲利基礎薄</t>
    </r>
  </si>
  <si>
    <t xml:space="preserve">3413</t>
  </si>
  <si>
    <t xml:space="preserve">京鼎</t>
  </si>
  <si>
    <t xml:space="preserve">半導體業</t>
  </si>
  <si>
    <t xml:space="preserve">2026/09/14</t>
  </si>
  <si>
    <r>
      <rPr>
        <sz val="11"/>
        <color rgb="FF0000FF"/>
        <rFont val="Noto Sans CJK SC"/>
        <family val="2"/>
      </rPr>
      <t xml:space="preserve">本益比約 </t>
    </r>
    <r>
      <rPr>
        <sz val="11"/>
        <color rgb="FF0000FF"/>
        <rFont val="Arial"/>
        <family val="0"/>
        <charset val="1"/>
      </rPr>
      <t xml:space="preserve">14 </t>
    </r>
    <r>
      <rPr>
        <sz val="11"/>
        <color rgb="FF0000FF"/>
        <rFont val="Noto Sans CJK SC"/>
        <family val="2"/>
      </rPr>
      <t xml:space="preserve">倍、殖利率 </t>
    </r>
    <r>
      <rPr>
        <sz val="11"/>
        <color rgb="FF0000FF"/>
        <rFont val="Arial"/>
        <family val="0"/>
        <charset val="1"/>
      </rPr>
      <t xml:space="preserve">3.9%</t>
    </r>
    <r>
      <rPr>
        <sz val="11"/>
        <color rgb="FF0000FF"/>
        <rFont val="Noto Sans CJK SC"/>
        <family val="2"/>
      </rPr>
      <t xml:space="preserve">；負債比 </t>
    </r>
    <r>
      <rPr>
        <sz val="11"/>
        <color rgb="FF0000FF"/>
        <rFont val="Arial"/>
        <family val="0"/>
        <charset val="1"/>
      </rPr>
      <t xml:space="preserve">41%</t>
    </r>
    <r>
      <rPr>
        <sz val="11"/>
        <color rgb="FF0000FF"/>
        <rFont val="Noto Sans CJK SC"/>
        <family val="2"/>
      </rPr>
      <t xml:space="preserve">、近四季自由現金流為正</t>
    </r>
  </si>
  <si>
    <r>
      <rPr>
        <sz val="11"/>
        <color rgb="FF0000FF"/>
        <rFont val="Arial"/>
        <family val="0"/>
        <charset val="1"/>
      </rPr>
      <t xml:space="preserve">Q2 EPS 4.61 </t>
    </r>
    <r>
      <rPr>
        <sz val="11"/>
        <color rgb="FF0000FF"/>
        <rFont val="Noto Sans CJK SC"/>
        <family val="2"/>
      </rPr>
      <t xml:space="preserve">元、年增 </t>
    </r>
    <r>
      <rPr>
        <sz val="11"/>
        <color rgb="FF0000FF"/>
        <rFont val="Arial"/>
        <family val="0"/>
        <charset val="1"/>
      </rPr>
      <t xml:space="preserve">35%</t>
    </r>
    <r>
      <rPr>
        <sz val="11"/>
        <color rgb="FF0000FF"/>
        <rFont val="Noto Sans CJK SC"/>
        <family val="2"/>
      </rPr>
      <t xml:space="preserve">、季增 </t>
    </r>
    <r>
      <rPr>
        <sz val="11"/>
        <color rgb="FF0000FF"/>
        <rFont val="Arial"/>
        <family val="0"/>
        <charset val="1"/>
      </rPr>
      <t xml:space="preserve">8%</t>
    </r>
    <r>
      <rPr>
        <sz val="11"/>
        <color rgb="FF0000FF"/>
        <rFont val="Noto Sans CJK SC"/>
        <family val="2"/>
      </rPr>
      <t xml:space="preserve">，獲利止跌回升</t>
    </r>
  </si>
  <si>
    <r>
      <rPr>
        <sz val="11"/>
        <color rgb="FF0000FF"/>
        <rFont val="Noto Sans CJK SC"/>
        <family val="2"/>
      </rPr>
      <t xml:space="preserve">半導體設備景氣循環；上半年 </t>
    </r>
    <r>
      <rPr>
        <sz val="11"/>
        <color rgb="FF0000FF"/>
        <rFont val="Arial"/>
        <family val="0"/>
        <charset val="1"/>
      </rPr>
      <t xml:space="preserve">EPS </t>
    </r>
    <r>
      <rPr>
        <sz val="11"/>
        <color rgb="FF0000FF"/>
        <rFont val="Noto Sans CJK SC"/>
        <family val="2"/>
      </rPr>
      <t xml:space="preserve">仍年減 </t>
    </r>
    <r>
      <rPr>
        <sz val="11"/>
        <color rgb="FF0000FF"/>
        <rFont val="Arial"/>
        <family val="0"/>
        <charset val="1"/>
      </rPr>
      <t xml:space="preserve">12%</t>
    </r>
  </si>
  <si>
    <t xml:space="preserve">2439</t>
  </si>
  <si>
    <t xml:space="preserve">美律</t>
  </si>
  <si>
    <t xml:space="preserve">通信網路業</t>
  </si>
  <si>
    <t xml:space="preserve">2026/09/09</t>
  </si>
  <si>
    <r>
      <rPr>
        <sz val="11"/>
        <color rgb="FF0000FF"/>
        <rFont val="Noto Sans CJK SC"/>
        <family val="2"/>
      </rPr>
      <t xml:space="preserve">本益比約 </t>
    </r>
    <r>
      <rPr>
        <sz val="11"/>
        <color rgb="FF0000FF"/>
        <rFont val="Arial"/>
        <family val="0"/>
        <charset val="1"/>
      </rPr>
      <t xml:space="preserve">14.9 </t>
    </r>
    <r>
      <rPr>
        <sz val="11"/>
        <color rgb="FF0000FF"/>
        <rFont val="Noto Sans CJK SC"/>
        <family val="2"/>
      </rPr>
      <t xml:space="preserve">倍、淨值比 </t>
    </r>
    <r>
      <rPr>
        <sz val="11"/>
        <color rgb="FF0000FF"/>
        <rFont val="Arial"/>
        <family val="0"/>
        <charset val="1"/>
      </rPr>
      <t xml:space="preserve">1.21</t>
    </r>
    <r>
      <rPr>
        <sz val="11"/>
        <color rgb="FF0000FF"/>
        <rFont val="Noto Sans CJK SC"/>
        <family val="2"/>
      </rPr>
      <t xml:space="preserve">、殖利率 </t>
    </r>
    <r>
      <rPr>
        <sz val="11"/>
        <color rgb="FF0000FF"/>
        <rFont val="Arial"/>
        <family val="0"/>
        <charset val="1"/>
      </rPr>
      <t xml:space="preserve">5.0%</t>
    </r>
  </si>
  <si>
    <r>
      <rPr>
        <sz val="11"/>
        <color rgb="FF0000FF"/>
        <rFont val="Arial"/>
        <family val="0"/>
        <charset val="1"/>
      </rPr>
      <t xml:space="preserve">9 </t>
    </r>
    <r>
      <rPr>
        <sz val="11"/>
        <color rgb="FF0000FF"/>
        <rFont val="Noto Sans CJK SC"/>
        <family val="2"/>
      </rPr>
      <t xml:space="preserve">月營收年增 </t>
    </r>
    <r>
      <rPr>
        <sz val="11"/>
        <color rgb="FF0000FF"/>
        <rFont val="Arial"/>
        <family val="0"/>
        <charset val="1"/>
      </rPr>
      <t xml:space="preserve">4%</t>
    </r>
    <r>
      <rPr>
        <sz val="11"/>
        <color rgb="FF0000FF"/>
        <rFont val="Noto Sans CJK SC"/>
        <family val="2"/>
      </rPr>
      <t xml:space="preserve">，股價距 </t>
    </r>
    <r>
      <rPr>
        <sz val="11"/>
        <color rgb="FF0000FF"/>
        <rFont val="Arial"/>
        <family val="0"/>
        <charset val="1"/>
      </rPr>
      <t xml:space="preserve">52 </t>
    </r>
    <r>
      <rPr>
        <sz val="11"/>
        <color rgb="FF0000FF"/>
        <rFont val="Noto Sans CJK SC"/>
        <family val="2"/>
      </rPr>
      <t xml:space="preserve">週低點 </t>
    </r>
    <r>
      <rPr>
        <sz val="11"/>
        <color rgb="FF0000FF"/>
        <rFont val="Arial"/>
        <family val="0"/>
        <charset val="1"/>
      </rPr>
      <t xml:space="preserve">9.5%</t>
    </r>
  </si>
  <si>
    <r>
      <rPr>
        <sz val="11"/>
        <color rgb="FF0000FF"/>
        <rFont val="Noto Sans CJK SC"/>
        <family val="2"/>
      </rPr>
      <t xml:space="preserve">近兩季 </t>
    </r>
    <r>
      <rPr>
        <sz val="11"/>
        <color rgb="FF0000FF"/>
        <rFont val="Arial"/>
        <family val="0"/>
        <charset val="1"/>
      </rPr>
      <t xml:space="preserve">EPS </t>
    </r>
    <r>
      <rPr>
        <sz val="11"/>
        <color rgb="FF0000FF"/>
        <rFont val="Noto Sans CJK SC"/>
        <family val="2"/>
      </rPr>
      <t xml:space="preserve">連續季減（</t>
    </r>
    <r>
      <rPr>
        <sz val="11"/>
        <color rgb="FF0000FF"/>
        <rFont val="Arial"/>
        <family val="0"/>
        <charset val="1"/>
      </rPr>
      <t xml:space="preserve">Q2 0.50 </t>
    </r>
    <r>
      <rPr>
        <sz val="11"/>
        <color rgb="FF0000FF"/>
        <rFont val="Noto Sans CJK SC"/>
        <family val="2"/>
      </rPr>
      <t xml:space="preserve">元）；近四季營業現金流僅 </t>
    </r>
    <r>
      <rPr>
        <sz val="11"/>
        <color rgb="FF0000FF"/>
        <rFont val="Arial"/>
        <family val="0"/>
        <charset val="1"/>
      </rPr>
      <t xml:space="preserve">2.2 </t>
    </r>
    <r>
      <rPr>
        <sz val="11"/>
        <color rgb="FF0000FF"/>
        <rFont val="Noto Sans CJK SC"/>
        <family val="2"/>
      </rPr>
      <t xml:space="preserve">億、自由現金流為負</t>
    </r>
  </si>
  <si>
    <t xml:space="preserve">4114</t>
  </si>
  <si>
    <t xml:space="preserve">健喬</t>
  </si>
  <si>
    <t xml:space="preserve">上櫃</t>
  </si>
  <si>
    <t xml:space="preserve">生技醫療業</t>
  </si>
  <si>
    <t xml:space="preserve">2026/07/29</t>
  </si>
  <si>
    <r>
      <rPr>
        <sz val="11"/>
        <color rgb="FF0000FF"/>
        <rFont val="Noto Sans CJK SC"/>
        <family val="2"/>
      </rPr>
      <t xml:space="preserve">殖利率 </t>
    </r>
    <r>
      <rPr>
        <sz val="11"/>
        <color rgb="FF0000FF"/>
        <rFont val="Arial"/>
        <family val="0"/>
        <charset val="1"/>
      </rPr>
      <t xml:space="preserve">5.4%</t>
    </r>
    <r>
      <rPr>
        <sz val="11"/>
        <color rgb="FF0000FF"/>
        <rFont val="Noto Sans CJK SC"/>
        <family val="2"/>
      </rPr>
      <t xml:space="preserve">、負債比 </t>
    </r>
    <r>
      <rPr>
        <sz val="11"/>
        <color rgb="FF0000FF"/>
        <rFont val="Arial"/>
        <family val="0"/>
        <charset val="1"/>
      </rPr>
      <t xml:space="preserve">35%</t>
    </r>
    <r>
      <rPr>
        <sz val="11"/>
        <color rgb="FF0000FF"/>
        <rFont val="Noto Sans CJK SC"/>
        <family val="2"/>
      </rPr>
      <t xml:space="preserve">；</t>
    </r>
    <r>
      <rPr>
        <sz val="11"/>
        <color rgb="FF0000FF"/>
        <rFont val="Arial"/>
        <family val="0"/>
        <charset val="1"/>
      </rPr>
      <t xml:space="preserve">9 </t>
    </r>
    <r>
      <rPr>
        <sz val="11"/>
        <color rgb="FF0000FF"/>
        <rFont val="Noto Sans CJK SC"/>
        <family val="2"/>
      </rPr>
      <t xml:space="preserve">月營收年增 </t>
    </r>
    <r>
      <rPr>
        <sz val="11"/>
        <color rgb="FF0000FF"/>
        <rFont val="Arial"/>
        <family val="0"/>
        <charset val="1"/>
      </rPr>
      <t xml:space="preserve">39%</t>
    </r>
  </si>
  <si>
    <r>
      <rPr>
        <sz val="11"/>
        <color rgb="FF0000FF"/>
        <rFont val="Noto Sans CJK SC"/>
        <family val="2"/>
      </rPr>
      <t xml:space="preserve">營收成長若延續，有機會帶動 </t>
    </r>
    <r>
      <rPr>
        <sz val="11"/>
        <color rgb="FF0000FF"/>
        <rFont val="Arial"/>
        <family val="0"/>
        <charset val="1"/>
      </rPr>
      <t xml:space="preserve">Q3 </t>
    </r>
    <r>
      <rPr>
        <sz val="11"/>
        <color rgb="FF0000FF"/>
        <rFont val="Noto Sans CJK SC"/>
        <family val="2"/>
      </rPr>
      <t xml:space="preserve">獲利</t>
    </r>
  </si>
  <si>
    <r>
      <rPr>
        <sz val="11"/>
        <color rgb="FF0000FF"/>
        <rFont val="Noto Sans CJK SC"/>
        <family val="2"/>
      </rPr>
      <t xml:space="preserve">本益比約 </t>
    </r>
    <r>
      <rPr>
        <sz val="11"/>
        <color rgb="FF0000FF"/>
        <rFont val="Arial"/>
        <family val="0"/>
        <charset val="1"/>
      </rPr>
      <t xml:space="preserve">18.7 </t>
    </r>
    <r>
      <rPr>
        <sz val="11"/>
        <color rgb="FF0000FF"/>
        <rFont val="Noto Sans CJK SC"/>
        <family val="2"/>
      </rPr>
      <t xml:space="preserve">倍偏高；近四季自由現金流 </t>
    </r>
    <r>
      <rPr>
        <sz val="11"/>
        <color rgb="FF0000FF"/>
        <rFont val="Arial"/>
        <family val="0"/>
        <charset val="1"/>
      </rPr>
      <t xml:space="preserve">-7.3 </t>
    </r>
    <r>
      <rPr>
        <sz val="11"/>
        <color rgb="FF0000FF"/>
        <rFont val="Noto Sans CJK SC"/>
        <family val="2"/>
      </rPr>
      <t xml:space="preserve">億；</t>
    </r>
    <r>
      <rPr>
        <sz val="11"/>
        <color rgb="FF0000FF"/>
        <rFont val="Arial"/>
        <family val="0"/>
        <charset val="1"/>
      </rPr>
      <t xml:space="preserve">Q2 </t>
    </r>
    <r>
      <rPr>
        <sz val="11"/>
        <color rgb="FF0000FF"/>
        <rFont val="Noto Sans CJK SC"/>
        <family val="2"/>
      </rPr>
      <t xml:space="preserve">營業現金流為負</t>
    </r>
  </si>
  <si>
    <r>
      <rPr>
        <b val="true"/>
        <sz val="11"/>
        <color rgb="FFC00000"/>
        <rFont val="Noto Sans CJK SC"/>
        <family val="2"/>
      </rPr>
      <t xml:space="preserve">注意：接近 </t>
    </r>
    <r>
      <rPr>
        <b val="true"/>
        <sz val="11"/>
        <color rgb="FFC00000"/>
        <rFont val="Arial"/>
        <family val="0"/>
        <charset val="1"/>
      </rPr>
      <t xml:space="preserve">52 </t>
    </r>
    <r>
      <rPr>
        <b val="true"/>
        <sz val="11"/>
        <color rgb="FFC00000"/>
        <rFont val="Noto Sans CJK SC"/>
        <family val="2"/>
      </rPr>
      <t xml:space="preserve">週低點不等於買點；本表只是依條件篩出的研究名單，不構成投資建議。投資論點／催化劑／風險欄為根據表內數字的分析判斷，尚未查證新聞與法說內容。</t>
    </r>
  </si>
  <si>
    <t xml:space="preserve">藍字＝來源數字；黑字＝公式。詳細規則與來源見「篩選規則與來源」工作表。</t>
  </si>
  <si>
    <r>
      <rPr>
        <b val="true"/>
        <sz val="11"/>
        <rFont val="Noto Sans CJK SC"/>
        <family val="2"/>
      </rPr>
      <t xml:space="preserve">【備選】通過所有條件、評分排第 </t>
    </r>
    <r>
      <rPr>
        <b val="true"/>
        <sz val="11"/>
        <rFont val="Arial"/>
        <family val="0"/>
        <charset val="1"/>
      </rPr>
      <t xml:space="preserve">11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Arial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名</t>
    </r>
  </si>
  <si>
    <t xml:space="preserve">1227</t>
  </si>
  <si>
    <t xml:space="preserve">佳格</t>
  </si>
  <si>
    <t xml:space="preserve">2026/10/06</t>
  </si>
  <si>
    <t xml:space="preserve">9910</t>
  </si>
  <si>
    <t xml:space="preserve">豐泰</t>
  </si>
  <si>
    <t xml:space="preserve">2026/10/07</t>
  </si>
  <si>
    <t xml:space="preserve">1229</t>
  </si>
  <si>
    <t xml:space="preserve">聯華</t>
  </si>
  <si>
    <t xml:space="preserve">2026/05/25</t>
  </si>
  <si>
    <r>
      <rPr>
        <b val="true"/>
        <sz val="11"/>
        <rFont val="Noto Sans CJK SC"/>
        <family val="2"/>
      </rPr>
      <t xml:space="preserve">【剔除】數字條件都過，但上半年 </t>
    </r>
    <r>
      <rPr>
        <b val="true"/>
        <sz val="11"/>
        <rFont val="Arial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年減超過 </t>
    </r>
    <r>
      <rPr>
        <b val="true"/>
        <sz val="11"/>
        <rFont val="Arial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，視為「基本面明顯惡化」</t>
    </r>
  </si>
  <si>
    <t xml:space="preserve">剔除原因</t>
  </si>
  <si>
    <t xml:space="preserve">9938</t>
  </si>
  <si>
    <t xml:space="preserve">百和</t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</si>
  <si>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38%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0.49+0.87 vs 0.67+1.54</t>
    </r>
    <r>
      <rPr>
        <sz val="11"/>
        <color theme="1"/>
        <rFont val="Noto Sans CJK SC"/>
        <family val="2"/>
      </rPr>
      <t xml:space="preserve">），基本面明顯轉弱</t>
    </r>
  </si>
  <si>
    <t xml:space="preserve">7780</t>
  </si>
  <si>
    <r>
      <rPr>
        <sz val="11"/>
        <color theme="1"/>
        <rFont val="Noto Sans CJK SC"/>
        <family val="2"/>
      </rPr>
      <t xml:space="preserve">大研生醫</t>
    </r>
    <r>
      <rPr>
        <sz val="11"/>
        <color theme="1"/>
        <rFont val="Calibri"/>
        <family val="2"/>
        <charset val="1"/>
      </rPr>
      <t xml:space="preserve">*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</si>
  <si>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88%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0.16+0.13 vs 0.65+1.75</t>
    </r>
    <r>
      <rPr>
        <sz val="11"/>
        <color theme="1"/>
        <rFont val="Noto Sans CJK SC"/>
        <family val="2"/>
      </rPr>
      <t xml:space="preserve">），基本面明顯轉弱</t>
    </r>
  </si>
  <si>
    <t xml:space="preserve">EPS 26Q2</t>
  </si>
  <si>
    <t xml:space="preserve">EPS 26Q1</t>
  </si>
  <si>
    <t xml:space="preserve">EPS 25Q4</t>
  </si>
  <si>
    <t xml:space="preserve">EPS 25Q3</t>
  </si>
  <si>
    <t xml:space="preserve">EPS 25Q2</t>
  </si>
  <si>
    <t xml:space="preserve">EPS 25Q1</t>
  </si>
  <si>
    <r>
      <rPr>
        <sz val="11"/>
        <color theme="1"/>
        <rFont val="Noto Sans CJK SC"/>
        <family val="2"/>
      </rPr>
      <t xml:space="preserve">營業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最新</t>
    </r>
  </si>
  <si>
    <r>
      <rPr>
        <sz val="11"/>
        <color theme="1"/>
        <rFont val="Noto Sans CJK SC"/>
        <family val="2"/>
      </rPr>
      <t xml:space="preserve">營業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</si>
  <si>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Noto Sans CJK SC"/>
        <family val="2"/>
      </rPr>
      <t xml:space="preserve">營業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</si>
  <si>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Noto Sans CJK SC"/>
        <family val="2"/>
      </rPr>
      <t xml:space="preserve">營業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</si>
  <si>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Noto Sans CJK SC"/>
        <family val="2"/>
      </rPr>
      <t xml:space="preserve">自由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最新</t>
    </r>
  </si>
  <si>
    <r>
      <rPr>
        <sz val="11"/>
        <color theme="1"/>
        <rFont val="Noto Sans CJK SC"/>
        <family val="2"/>
      </rPr>
      <t xml:space="preserve">自由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</si>
  <si>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Noto Sans CJK SC"/>
        <family val="2"/>
      </rPr>
      <t xml:space="preserve">自由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</si>
  <si>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Noto Sans CJK SC"/>
        <family val="2"/>
      </rPr>
      <t xml:space="preserve">自由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</t>
    </r>
  </si>
  <si>
    <t xml:space="preserve">現金流最新季</t>
  </si>
  <si>
    <t xml:space="preserve">來源網址</t>
  </si>
  <si>
    <t xml:space="preserve">2026Q2</t>
  </si>
  <si>
    <r>
      <rPr>
        <sz val="11"/>
        <color rgb="FF0000FF"/>
        <rFont val="Arial"/>
        <family val="0"/>
        <charset val="1"/>
      </rPr>
      <t xml:space="preserve">https://tw.stock.yahoo.com/quote/2204.TW/eps </t>
    </r>
    <r>
      <rPr>
        <sz val="11"/>
        <color rgb="FF0000FF"/>
        <rFont val="Noto Sans CJK SC"/>
        <family val="2"/>
      </rPr>
      <t xml:space="preserve">； </t>
    </r>
    <r>
      <rPr>
        <sz val="11"/>
        <color rgb="FF0000FF"/>
        <rFont val="Arial"/>
        <family val="0"/>
        <charset val="1"/>
      </rPr>
      <t xml:space="preserve">https://tw.stock.yahoo.com/quote/2204.TW/cash-flow-statement</t>
    </r>
  </si>
  <si>
    <r>
      <rPr>
        <sz val="11"/>
        <color rgb="FF0000FF"/>
        <rFont val="Arial"/>
        <family val="0"/>
        <charset val="1"/>
      </rPr>
      <t xml:space="preserve">https://tw.stock.yahoo.com/quote/1307.TW/eps </t>
    </r>
    <r>
      <rPr>
        <sz val="11"/>
        <color rgb="FF0000FF"/>
        <rFont val="Noto Sans CJK SC"/>
        <family val="2"/>
      </rPr>
      <t xml:space="preserve">； </t>
    </r>
    <r>
      <rPr>
        <sz val="11"/>
        <color rgb="FF0000FF"/>
        <rFont val="Arial"/>
        <family val="0"/>
        <charset val="1"/>
      </rPr>
      <t xml:space="preserve">https://tw.stock.yahoo.com/quote/1307.TW/cash-flow-statement</t>
    </r>
  </si>
  <si>
    <r>
      <rPr>
        <sz val="11"/>
        <color rgb="FF0000FF"/>
        <rFont val="Arial"/>
        <family val="0"/>
        <charset val="1"/>
      </rPr>
      <t xml:space="preserve">https://tw.stock.yahoo.com/quote/2504.TW/eps </t>
    </r>
    <r>
      <rPr>
        <sz val="11"/>
        <color rgb="FF0000FF"/>
        <rFont val="Noto Sans CJK SC"/>
        <family val="2"/>
      </rPr>
      <t xml:space="preserve">； </t>
    </r>
    <r>
      <rPr>
        <sz val="11"/>
        <color rgb="FF0000FF"/>
        <rFont val="Arial"/>
        <family val="0"/>
        <charset val="1"/>
      </rPr>
      <t xml:space="preserve">https://tw.stock.yahoo.com/quote/2504.TW/cash-flow-statement</t>
    </r>
  </si>
  <si>
    <r>
      <rPr>
        <sz val="11"/>
        <color rgb="FF0000FF"/>
        <rFont val="Arial"/>
        <family val="0"/>
        <charset val="1"/>
      </rPr>
      <t xml:space="preserve">https://tw.stock.yahoo.com/quote/1210.TW/eps </t>
    </r>
    <r>
      <rPr>
        <sz val="11"/>
        <color rgb="FF0000FF"/>
        <rFont val="Noto Sans CJK SC"/>
        <family val="2"/>
      </rPr>
      <t xml:space="preserve">； </t>
    </r>
    <r>
      <rPr>
        <sz val="11"/>
        <color rgb="FF0000FF"/>
        <rFont val="Arial"/>
        <family val="0"/>
        <charset val="1"/>
      </rPr>
      <t xml:space="preserve">https://tw.stock.yahoo.com/quote/1210.TW/cash-flow-statement</t>
    </r>
  </si>
  <si>
    <r>
      <rPr>
        <sz val="11"/>
        <color rgb="FF0000FF"/>
        <rFont val="Arial"/>
        <family val="0"/>
        <charset val="1"/>
      </rPr>
      <t xml:space="preserve">https://tw.stock.yahoo.com/quote/9958.TW/eps </t>
    </r>
    <r>
      <rPr>
        <sz val="11"/>
        <color rgb="FF0000FF"/>
        <rFont val="Noto Sans CJK SC"/>
        <family val="2"/>
      </rPr>
      <t xml:space="preserve">； </t>
    </r>
    <r>
      <rPr>
        <sz val="11"/>
        <color rgb="FF0000FF"/>
        <rFont val="Arial"/>
        <family val="0"/>
        <charset val="1"/>
      </rPr>
      <t xml:space="preserve">https://tw.stock.yahoo.com/quote/9958.TW/cash-flow-statement</t>
    </r>
  </si>
  <si>
    <t xml:space="preserve">2026Q1</t>
  </si>
  <si>
    <r>
      <rPr>
        <sz val="11"/>
        <color rgb="FF0000FF"/>
        <rFont val="Arial"/>
        <family val="0"/>
        <charset val="1"/>
      </rPr>
      <t xml:space="preserve">https://tw.stock.yahoo.com/quote/9904.TW/eps </t>
    </r>
    <r>
      <rPr>
        <sz val="11"/>
        <color rgb="FF0000FF"/>
        <rFont val="Noto Sans CJK SC"/>
        <family val="2"/>
      </rPr>
      <t xml:space="preserve">； </t>
    </r>
    <r>
      <rPr>
        <sz val="11"/>
        <color rgb="FF0000FF"/>
        <rFont val="Arial"/>
        <family val="0"/>
        <charset val="1"/>
      </rPr>
      <t xml:space="preserve">https://tw.stock.yahoo.com/quote/9904.TW/cash-flow-statement</t>
    </r>
  </si>
  <si>
    <r>
      <rPr>
        <sz val="11"/>
        <color rgb="FF0000FF"/>
        <rFont val="Arial"/>
        <family val="0"/>
        <charset val="1"/>
      </rPr>
      <t xml:space="preserve">https://tw.stock.yahoo.com/quote/1722.TW/eps </t>
    </r>
    <r>
      <rPr>
        <sz val="11"/>
        <color rgb="FF0000FF"/>
        <rFont val="Noto Sans CJK SC"/>
        <family val="2"/>
      </rPr>
      <t xml:space="preserve">； </t>
    </r>
    <r>
      <rPr>
        <sz val="11"/>
        <color rgb="FF0000FF"/>
        <rFont val="Arial"/>
        <family val="0"/>
        <charset val="1"/>
      </rPr>
      <t xml:space="preserve">https://tw.stock.yahoo.com/quote/1722.TW/cash-flow-statement</t>
    </r>
  </si>
  <si>
    <r>
      <rPr>
        <sz val="11"/>
        <color rgb="FF0000FF"/>
        <rFont val="Arial"/>
        <family val="0"/>
        <charset val="1"/>
      </rPr>
      <t xml:space="preserve">https://tw.stock.yahoo.com/quote/3413.TW/eps </t>
    </r>
    <r>
      <rPr>
        <sz val="11"/>
        <color rgb="FF0000FF"/>
        <rFont val="Noto Sans CJK SC"/>
        <family val="2"/>
      </rPr>
      <t xml:space="preserve">； </t>
    </r>
    <r>
      <rPr>
        <sz val="11"/>
        <color rgb="FF0000FF"/>
        <rFont val="Arial"/>
        <family val="0"/>
        <charset val="1"/>
      </rPr>
      <t xml:space="preserve">https://tw.stock.yahoo.com/quote/3413.TW/cash-flow-statement</t>
    </r>
  </si>
  <si>
    <r>
      <rPr>
        <sz val="11"/>
        <color rgb="FF0000FF"/>
        <rFont val="Arial"/>
        <family val="0"/>
        <charset val="1"/>
      </rPr>
      <t xml:space="preserve">https://tw.stock.yahoo.com/quote/2439.TW/eps </t>
    </r>
    <r>
      <rPr>
        <sz val="11"/>
        <color rgb="FF0000FF"/>
        <rFont val="Noto Sans CJK SC"/>
        <family val="2"/>
      </rPr>
      <t xml:space="preserve">； </t>
    </r>
    <r>
      <rPr>
        <sz val="11"/>
        <color rgb="FF0000FF"/>
        <rFont val="Arial"/>
        <family val="0"/>
        <charset val="1"/>
      </rPr>
      <t xml:space="preserve">https://tw.stock.yahoo.com/quote/2439.TW/cash-flow-statement</t>
    </r>
  </si>
  <si>
    <r>
      <rPr>
        <sz val="11"/>
        <color rgb="FF0000FF"/>
        <rFont val="Arial"/>
        <family val="0"/>
        <charset val="1"/>
      </rPr>
      <t xml:space="preserve">https://tw.stock.yahoo.com/quote/4114.TWO/eps </t>
    </r>
    <r>
      <rPr>
        <sz val="11"/>
        <color rgb="FF0000FF"/>
        <rFont val="Noto Sans CJK SC"/>
        <family val="2"/>
      </rPr>
      <t xml:space="preserve">； </t>
    </r>
    <r>
      <rPr>
        <sz val="11"/>
        <color rgb="FF0000FF"/>
        <rFont val="Arial"/>
        <family val="0"/>
        <charset val="1"/>
      </rPr>
      <t xml:space="preserve">https://tw.stock.yahoo.com/quote/4114.TWO/cash-flow-statement</t>
    </r>
  </si>
  <si>
    <r>
      <rPr>
        <sz val="11"/>
        <color rgb="FF0000FF"/>
        <rFont val="Arial"/>
        <family val="0"/>
        <charset val="1"/>
      </rPr>
      <t xml:space="preserve">https://tw.stock.yahoo.com/quote/1227.TW/eps </t>
    </r>
    <r>
      <rPr>
        <sz val="11"/>
        <color rgb="FF0000FF"/>
        <rFont val="Noto Sans CJK SC"/>
        <family val="2"/>
      </rPr>
      <t xml:space="preserve">； </t>
    </r>
    <r>
      <rPr>
        <sz val="11"/>
        <color rgb="FF0000FF"/>
        <rFont val="Arial"/>
        <family val="0"/>
        <charset val="1"/>
      </rPr>
      <t xml:space="preserve">https://tw.stock.yahoo.com/quote/1227.TW/cash-flow-statement</t>
    </r>
  </si>
  <si>
    <r>
      <rPr>
        <sz val="11"/>
        <color rgb="FF0000FF"/>
        <rFont val="Arial"/>
        <family val="0"/>
        <charset val="1"/>
      </rPr>
      <t xml:space="preserve">https://tw.stock.yahoo.com/quote/9910.TW/eps </t>
    </r>
    <r>
      <rPr>
        <sz val="11"/>
        <color rgb="FF0000FF"/>
        <rFont val="Noto Sans CJK SC"/>
        <family val="2"/>
      </rPr>
      <t xml:space="preserve">； </t>
    </r>
    <r>
      <rPr>
        <sz val="11"/>
        <color rgb="FF0000FF"/>
        <rFont val="Arial"/>
        <family val="0"/>
        <charset val="1"/>
      </rPr>
      <t xml:space="preserve">https://tw.stock.yahoo.com/quote/9910.TW/cash-flow-statement</t>
    </r>
  </si>
  <si>
    <r>
      <rPr>
        <sz val="11"/>
        <color rgb="FF0000FF"/>
        <rFont val="Arial"/>
        <family val="0"/>
        <charset val="1"/>
      </rPr>
      <t xml:space="preserve">https://tw.stock.yahoo.com/quote/1229.TW/eps </t>
    </r>
    <r>
      <rPr>
        <sz val="11"/>
        <color rgb="FF0000FF"/>
        <rFont val="Noto Sans CJK SC"/>
        <family val="2"/>
      </rPr>
      <t xml:space="preserve">； </t>
    </r>
    <r>
      <rPr>
        <sz val="11"/>
        <color rgb="FF0000FF"/>
        <rFont val="Arial"/>
        <family val="0"/>
        <charset val="1"/>
      </rPr>
      <t xml:space="preserve">https://tw.stock.yahoo.com/quote/1229.TW/cash-flow-statement</t>
    </r>
  </si>
  <si>
    <r>
      <rPr>
        <sz val="11"/>
        <color rgb="FF0000FF"/>
        <rFont val="Arial"/>
        <family val="0"/>
        <charset val="1"/>
      </rPr>
      <t xml:space="preserve">https://tw.stock.yahoo.com/quote/9938.TW/eps </t>
    </r>
    <r>
      <rPr>
        <sz val="11"/>
        <color rgb="FF0000FF"/>
        <rFont val="Noto Sans CJK SC"/>
        <family val="2"/>
      </rPr>
      <t xml:space="preserve">； </t>
    </r>
    <r>
      <rPr>
        <sz val="11"/>
        <color rgb="FF0000FF"/>
        <rFont val="Arial"/>
        <family val="0"/>
        <charset val="1"/>
      </rPr>
      <t xml:space="preserve">https://tw.stock.yahoo.com/quote/9938.TW/cash-flow-statement</t>
    </r>
  </si>
  <si>
    <r>
      <rPr>
        <sz val="11"/>
        <color rgb="FF0000FF"/>
        <rFont val="Noto Sans CJK SC"/>
        <family val="2"/>
      </rPr>
      <t xml:space="preserve">大研生醫</t>
    </r>
    <r>
      <rPr>
        <sz val="11"/>
        <color rgb="FF0000FF"/>
        <rFont val="Arial"/>
        <family val="0"/>
        <charset val="1"/>
      </rPr>
      <t xml:space="preserve">*</t>
    </r>
  </si>
  <si>
    <r>
      <rPr>
        <sz val="11"/>
        <color rgb="FF0000FF"/>
        <rFont val="Arial"/>
        <family val="0"/>
        <charset val="1"/>
      </rPr>
      <t xml:space="preserve">https://tw.stock.yahoo.com/quote/7780.TW/eps </t>
    </r>
    <r>
      <rPr>
        <sz val="11"/>
        <color rgb="FF0000FF"/>
        <rFont val="Noto Sans CJK SC"/>
        <family val="2"/>
      </rPr>
      <t xml:space="preserve">； </t>
    </r>
    <r>
      <rPr>
        <sz val="11"/>
        <color rgb="FF0000FF"/>
        <rFont val="Arial"/>
        <family val="0"/>
        <charset val="1"/>
      </rPr>
      <t xml:space="preserve">https://tw.stock.yahoo.com/quote/7780.TW/cash-flow-statement</t>
    </r>
  </si>
  <si>
    <r>
      <rPr>
        <i val="true"/>
        <sz val="11"/>
        <rFont val="Noto Sans CJK SC"/>
        <family val="2"/>
      </rPr>
      <t xml:space="preserve">單位：</t>
    </r>
    <r>
      <rPr>
        <i val="true"/>
        <sz val="11"/>
        <rFont val="Arial"/>
        <family val="0"/>
        <charset val="1"/>
      </rPr>
      <t xml:space="preserve">EPS </t>
    </r>
    <r>
      <rPr>
        <i val="true"/>
        <sz val="11"/>
        <rFont val="Noto Sans CJK SC"/>
        <family val="2"/>
      </rPr>
      <t xml:space="preserve">為元（單季）；現金流為仟元（單季）。自由現金流採 </t>
    </r>
    <r>
      <rPr>
        <i val="true"/>
        <sz val="11"/>
        <rFont val="Arial"/>
        <family val="0"/>
        <charset val="1"/>
      </rPr>
      <t xml:space="preserve">Yahoo </t>
    </r>
    <r>
      <rPr>
        <i val="true"/>
        <sz val="11"/>
        <rFont val="Noto Sans CJK SC"/>
        <family val="2"/>
      </rPr>
      <t xml:space="preserve">股市定義＝營業現金流＋投資現金流。</t>
    </r>
    <r>
      <rPr>
        <i val="true"/>
        <sz val="11"/>
        <rFont val="Arial"/>
        <family val="0"/>
        <charset val="1"/>
      </rPr>
      <t xml:space="preserve">9904 </t>
    </r>
    <r>
      <rPr>
        <i val="true"/>
        <sz val="11"/>
        <rFont val="Noto Sans CJK SC"/>
        <family val="2"/>
      </rPr>
      <t xml:space="preserve">寶成的現金流網頁最新只到 </t>
    </r>
    <r>
      <rPr>
        <i val="true"/>
        <sz val="11"/>
        <rFont val="Arial"/>
        <family val="0"/>
        <charset val="1"/>
      </rPr>
      <t xml:space="preserve">2026Q1</t>
    </r>
    <r>
      <rPr>
        <i val="true"/>
        <sz val="11"/>
        <rFont val="Noto Sans CJK SC"/>
        <family val="2"/>
      </rPr>
      <t xml:space="preserve">，所以它的 </t>
    </r>
    <r>
      <rPr>
        <i val="true"/>
        <sz val="11"/>
        <rFont val="Arial"/>
        <family val="0"/>
        <charset val="1"/>
      </rPr>
      <t xml:space="preserve">4 </t>
    </r>
    <r>
      <rPr>
        <i val="true"/>
        <sz val="11"/>
        <rFont val="Noto Sans CJK SC"/>
        <family val="2"/>
      </rPr>
      <t xml:space="preserve">季是 </t>
    </r>
    <r>
      <rPr>
        <i val="true"/>
        <sz val="11"/>
        <rFont val="Arial"/>
        <family val="0"/>
        <charset val="1"/>
      </rPr>
      <t xml:space="preserve">2025Q2</t>
    </r>
    <r>
      <rPr>
        <i val="true"/>
        <sz val="11"/>
        <rFont val="Noto Sans CJK SC"/>
        <family val="2"/>
      </rPr>
      <t xml:space="preserve">～</t>
    </r>
    <r>
      <rPr>
        <i val="true"/>
        <sz val="11"/>
        <rFont val="Arial"/>
        <family val="0"/>
        <charset val="1"/>
      </rPr>
      <t xml:space="preserve">2026Q1</t>
    </r>
    <r>
      <rPr>
        <i val="true"/>
        <sz val="11"/>
        <rFont val="Noto Sans CJK SC"/>
        <family val="2"/>
      </rPr>
      <t xml:space="preserve">。</t>
    </r>
  </si>
  <si>
    <t xml:space="preserve">台股價值股初步名單：篩選規則、漏斗與資料來源</t>
  </si>
  <si>
    <t xml:space="preserve">資料截至</t>
  </si>
  <si>
    <r>
      <rPr>
        <sz val="11"/>
        <rFont val="Arial"/>
        <family val="0"/>
        <charset val="1"/>
      </rPr>
      <t xml:space="preserve">2026/10/16</t>
    </r>
    <r>
      <rPr>
        <sz val="11"/>
        <rFont val="Noto Sans CJK SC"/>
        <family val="2"/>
      </rPr>
      <t xml:space="preserve">（週五）收盤；財報為 </t>
    </r>
    <r>
      <rPr>
        <sz val="11"/>
        <rFont val="Arial"/>
        <family val="0"/>
        <charset val="1"/>
      </rPr>
      <t xml:space="preserve">2026Q2</t>
    </r>
    <r>
      <rPr>
        <sz val="11"/>
        <rFont val="Noto Sans CJK SC"/>
        <family val="2"/>
      </rPr>
      <t xml:space="preserve">；月營收為 </t>
    </r>
    <r>
      <rPr>
        <sz val="11"/>
        <rFont val="Arial"/>
        <family val="0"/>
        <charset val="1"/>
      </rPr>
      <t xml:space="preserve">2026 </t>
    </r>
    <r>
      <rPr>
        <sz val="11"/>
        <rFont val="Noto Sans CJK SC"/>
        <family val="2"/>
      </rPr>
      <t xml:space="preserve">年 </t>
    </r>
    <r>
      <rPr>
        <sz val="11"/>
        <rFont val="Arial"/>
        <family val="0"/>
        <charset val="1"/>
      </rPr>
      <t xml:space="preserve">9 </t>
    </r>
    <r>
      <rPr>
        <sz val="11"/>
        <rFont val="Noto Sans CJK SC"/>
        <family val="2"/>
      </rPr>
      <t xml:space="preserve">月</t>
    </r>
  </si>
  <si>
    <t xml:space="preserve">篩選條件（依序檢查）</t>
  </si>
  <si>
    <t xml:space="preserve">門檻</t>
  </si>
  <si>
    <t xml:space="preserve">刷掉檔數</t>
  </si>
  <si>
    <t xml:space="preserve">只看上市櫃普通股、有收盤價與股數</t>
  </si>
  <si>
    <r>
      <rPr>
        <sz val="11"/>
        <rFont val="Arial"/>
        <family val="0"/>
        <charset val="1"/>
      </rPr>
      <t xml:space="preserve">4 </t>
    </r>
    <r>
      <rPr>
        <sz val="11"/>
        <rFont val="Noto Sans CJK SC"/>
        <family val="2"/>
      </rPr>
      <t xml:space="preserve">碼、非 </t>
    </r>
    <r>
      <rPr>
        <sz val="11"/>
        <rFont val="Arial"/>
        <family val="0"/>
        <charset val="1"/>
      </rPr>
      <t xml:space="preserve">0 </t>
    </r>
    <r>
      <rPr>
        <sz val="11"/>
        <rFont val="Noto Sans CJK SC"/>
        <family val="2"/>
      </rPr>
      <t xml:space="preserve">開頭</t>
    </r>
  </si>
  <si>
    <t xml:space="preserve">市值</t>
  </si>
  <si>
    <r>
      <rPr>
        <sz val="11"/>
        <rFont val="Arial"/>
        <family val="0"/>
        <charset val="1"/>
      </rPr>
      <t xml:space="preserve">≥ 100 </t>
    </r>
    <r>
      <rPr>
        <sz val="11"/>
        <rFont val="Noto Sans CJK SC"/>
        <family val="2"/>
      </rPr>
      <t xml:space="preserve">億元</t>
    </r>
  </si>
  <si>
    <t xml:space="preserve">處置股／變更交易（全額交割）</t>
  </si>
  <si>
    <t xml:space="preserve">排除</t>
  </si>
  <si>
    <t xml:space="preserve">股價歷史</t>
  </si>
  <si>
    <r>
      <rPr>
        <sz val="11"/>
        <rFont val="Arial"/>
        <family val="0"/>
        <charset val="1"/>
      </rPr>
      <t xml:space="preserve">52 </t>
    </r>
    <r>
      <rPr>
        <sz val="11"/>
        <rFont val="Noto Sans CJK SC"/>
        <family val="2"/>
      </rPr>
      <t xml:space="preserve">週內至少 </t>
    </r>
    <r>
      <rPr>
        <sz val="11"/>
        <rFont val="Arial"/>
        <family val="0"/>
        <charset val="1"/>
      </rPr>
      <t xml:space="preserve">150 </t>
    </r>
    <r>
      <rPr>
        <sz val="11"/>
        <rFont val="Noto Sans CJK SC"/>
        <family val="2"/>
      </rPr>
      <t xml:space="preserve">個交易日</t>
    </r>
  </si>
  <si>
    <r>
      <rPr>
        <sz val="11"/>
        <rFont val="Noto Sans CJK SC"/>
        <family val="2"/>
      </rPr>
      <t xml:space="preserve">距 </t>
    </r>
    <r>
      <rPr>
        <sz val="11"/>
        <rFont val="Arial"/>
        <family val="0"/>
        <charset val="1"/>
      </rPr>
      <t xml:space="preserve">52 </t>
    </r>
    <r>
      <rPr>
        <sz val="11"/>
        <rFont val="Noto Sans CJK SC"/>
        <family val="2"/>
      </rPr>
      <t xml:space="preserve">週低點</t>
    </r>
  </si>
  <si>
    <t xml:space="preserve">≤ 15%</t>
  </si>
  <si>
    <t xml:space="preserve">流動性</t>
  </si>
  <si>
    <r>
      <rPr>
        <sz val="11"/>
        <rFont val="Noto Sans CJK SC"/>
        <family val="2"/>
      </rPr>
      <t xml:space="preserve">近 </t>
    </r>
    <r>
      <rPr>
        <sz val="11"/>
        <rFont val="Arial"/>
        <family val="0"/>
        <charset val="1"/>
      </rPr>
      <t xml:space="preserve">20 </t>
    </r>
    <r>
      <rPr>
        <sz val="11"/>
        <rFont val="Noto Sans CJK SC"/>
        <family val="2"/>
      </rPr>
      <t xml:space="preserve">日均量 ≥ </t>
    </r>
    <r>
      <rPr>
        <sz val="11"/>
        <rFont val="Arial"/>
        <family val="0"/>
        <charset val="1"/>
      </rPr>
      <t xml:space="preserve">500 </t>
    </r>
    <r>
      <rPr>
        <sz val="11"/>
        <rFont val="Noto Sans CJK SC"/>
        <family val="2"/>
      </rPr>
      <t xml:space="preserve">張</t>
    </r>
  </si>
  <si>
    <r>
      <rPr>
        <sz val="11"/>
        <rFont val="Noto Sans CJK SC"/>
        <family val="2"/>
      </rPr>
      <t xml:space="preserve">近四季 </t>
    </r>
    <r>
      <rPr>
        <sz val="11"/>
        <rFont val="Arial"/>
        <family val="0"/>
        <charset val="1"/>
      </rPr>
      <t xml:space="preserve">EPS</t>
    </r>
  </si>
  <si>
    <r>
      <rPr>
        <sz val="11"/>
        <rFont val="Arial"/>
        <family val="0"/>
        <charset val="1"/>
      </rPr>
      <t xml:space="preserve">&gt; 0</t>
    </r>
    <r>
      <rPr>
        <sz val="11"/>
        <rFont val="Noto Sans CJK SC"/>
        <family val="2"/>
      </rPr>
      <t xml:space="preserve">（本益比有值）</t>
    </r>
  </si>
  <si>
    <t xml:space="preserve">負債比（一般產業）</t>
  </si>
  <si>
    <t xml:space="preserve">≤ 60%</t>
  </si>
  <si>
    <t xml:space="preserve">金融股（銀行、保險、證券、金控）</t>
  </si>
  <si>
    <r>
      <rPr>
        <sz val="11"/>
        <rFont val="Noto Sans CJK SC"/>
        <family val="2"/>
      </rPr>
      <t xml:space="preserve">改看 </t>
    </r>
    <r>
      <rPr>
        <sz val="11"/>
        <rFont val="Arial"/>
        <family val="0"/>
        <charset val="1"/>
      </rPr>
      <t xml:space="preserve">ROE &gt; 8%</t>
    </r>
    <r>
      <rPr>
        <sz val="11"/>
        <rFont val="Noto Sans CJK SC"/>
        <family val="2"/>
      </rPr>
      <t xml:space="preserve">（上半年淨利</t>
    </r>
    <r>
      <rPr>
        <sz val="11"/>
        <rFont val="Arial"/>
        <family val="0"/>
        <charset val="1"/>
      </rPr>
      <t xml:space="preserve">×2 ÷ </t>
    </r>
    <r>
      <rPr>
        <sz val="11"/>
        <rFont val="Noto Sans CJK SC"/>
        <family val="2"/>
      </rPr>
      <t xml:space="preserve">母公司權益）</t>
    </r>
  </si>
  <si>
    <r>
      <rPr>
        <sz val="11"/>
        <rFont val="Noto Sans CJK SC"/>
        <family val="2"/>
      </rPr>
      <t xml:space="preserve">今年上半年 </t>
    </r>
    <r>
      <rPr>
        <sz val="11"/>
        <rFont val="Arial"/>
        <family val="0"/>
        <charset val="1"/>
      </rPr>
      <t xml:space="preserve">EPS</t>
    </r>
  </si>
  <si>
    <t xml:space="preserve">&gt; 0</t>
  </si>
  <si>
    <t xml:space="preserve">營收</t>
  </si>
  <si>
    <r>
      <rPr>
        <sz val="11"/>
        <rFont val="Arial"/>
        <family val="0"/>
        <charset val="1"/>
      </rPr>
      <t xml:space="preserve">9 </t>
    </r>
    <r>
      <rPr>
        <sz val="11"/>
        <rFont val="Noto Sans CJK SC"/>
        <family val="2"/>
      </rPr>
      <t xml:space="preserve">月年增率與累計年增率都 ≥ </t>
    </r>
    <r>
      <rPr>
        <sz val="11"/>
        <rFont val="Arial"/>
        <family val="0"/>
        <charset val="1"/>
      </rPr>
      <t xml:space="preserve">-10%</t>
    </r>
  </si>
  <si>
    <t xml:space="preserve">毛利率（一般產業）</t>
  </si>
  <si>
    <r>
      <rPr>
        <sz val="11"/>
        <rFont val="Noto Sans CJK SC"/>
        <family val="2"/>
      </rPr>
      <t xml:space="preserve">最近一季 </t>
    </r>
    <r>
      <rPr>
        <sz val="11"/>
        <rFont val="Arial"/>
        <family val="0"/>
        <charset val="1"/>
      </rPr>
      <t xml:space="preserve">&gt; 0</t>
    </r>
  </si>
  <si>
    <t xml:space="preserve">→ 通過以上條件</t>
  </si>
  <si>
    <r>
      <rPr>
        <sz val="11"/>
        <rFont val="Arial"/>
        <family val="0"/>
        <charset val="1"/>
      </rPr>
      <t xml:space="preserve">34 </t>
    </r>
    <r>
      <rPr>
        <sz val="11"/>
        <rFont val="Noto Sans CJK SC"/>
        <family val="2"/>
      </rPr>
      <t xml:space="preserve">檔</t>
    </r>
  </si>
  <si>
    <t xml:space="preserve">近四季營業現金流或自由現金流</t>
  </si>
  <si>
    <r>
      <rPr>
        <sz val="11"/>
        <rFont val="Arial"/>
        <family val="0"/>
        <charset val="1"/>
      </rPr>
      <t xml:space="preserve">&gt; 0</t>
    </r>
    <r>
      <rPr>
        <sz val="11"/>
        <rFont val="Noto Sans CJK SC"/>
        <family val="2"/>
      </rPr>
      <t xml:space="preserve">（逐檔查 </t>
    </r>
    <r>
      <rPr>
        <sz val="11"/>
        <rFont val="Arial"/>
        <family val="0"/>
        <charset val="1"/>
      </rPr>
      <t xml:space="preserve">Yahoo </t>
    </r>
    <r>
      <rPr>
        <sz val="11"/>
        <rFont val="Noto Sans CJK SC"/>
        <family val="2"/>
      </rPr>
      <t xml:space="preserve">股市，查了評分前 </t>
    </r>
    <r>
      <rPr>
        <sz val="11"/>
        <rFont val="Arial"/>
        <family val="0"/>
        <charset val="1"/>
      </rPr>
      <t xml:space="preserve">15 </t>
    </r>
    <r>
      <rPr>
        <sz val="11"/>
        <rFont val="Noto Sans CJK SC"/>
        <family val="2"/>
      </rPr>
      <t xml:space="preserve">名）</t>
    </r>
  </si>
  <si>
    <r>
      <rPr>
        <sz val="11"/>
        <rFont val="Arial"/>
        <family val="0"/>
        <charset val="1"/>
      </rPr>
      <t xml:space="preserve">0 </t>
    </r>
    <r>
      <rPr>
        <sz val="11"/>
        <rFont val="Noto Sans CJK SC"/>
        <family val="2"/>
      </rPr>
      <t xml:space="preserve">檔被刷掉</t>
    </r>
  </si>
  <si>
    <r>
      <rPr>
        <sz val="11"/>
        <rFont val="Noto Sans CJK SC"/>
        <family val="2"/>
      </rPr>
      <t xml:space="preserve">上半年 </t>
    </r>
    <r>
      <rPr>
        <sz val="11"/>
        <rFont val="Arial"/>
        <family val="0"/>
        <charset val="1"/>
      </rPr>
      <t xml:space="preserve">EPS </t>
    </r>
    <r>
      <rPr>
        <sz val="11"/>
        <rFont val="Noto Sans CJK SC"/>
        <family val="2"/>
      </rPr>
      <t xml:space="preserve">年增率（明顯惡化判斷）</t>
    </r>
  </si>
  <si>
    <t xml:space="preserve">≥ -25%</t>
  </si>
  <si>
    <r>
      <rPr>
        <sz val="11"/>
        <rFont val="Arial"/>
        <family val="0"/>
        <charset val="1"/>
      </rPr>
      <t xml:space="preserve">2 </t>
    </r>
    <r>
      <rPr>
        <sz val="11"/>
        <rFont val="Noto Sans CJK SC"/>
        <family val="2"/>
      </rPr>
      <t xml:space="preserve">檔（見「備選與剔除」）</t>
    </r>
  </si>
  <si>
    <t xml:space="preserve">→ 排序</t>
  </si>
  <si>
    <t xml:space="preserve">價值評分（本益比低、淨值比低、殖利率高、離低點近，四項百分位平均）</t>
  </si>
  <si>
    <r>
      <rPr>
        <sz val="11"/>
        <rFont val="Noto Sans CJK SC"/>
        <family val="2"/>
      </rPr>
      <t xml:space="preserve">取前 </t>
    </r>
    <r>
      <rPr>
        <sz val="11"/>
        <rFont val="Arial"/>
        <family val="0"/>
        <charset val="1"/>
      </rPr>
      <t xml:space="preserve">10 </t>
    </r>
    <r>
      <rPr>
        <sz val="11"/>
        <rFont val="Noto Sans CJK SC"/>
        <family val="2"/>
      </rPr>
      <t xml:space="preserve">名</t>
    </r>
  </si>
  <si>
    <t xml:space="preserve">資料來源</t>
  </si>
  <si>
    <r>
      <rPr>
        <sz val="11"/>
        <rFont val="Noto Sans CJK SC"/>
        <family val="2"/>
      </rPr>
      <t xml:space="preserve">上市每日收盤行情（</t>
    </r>
    <r>
      <rPr>
        <sz val="11"/>
        <rFont val="Arial"/>
        <family val="0"/>
        <charset val="1"/>
      </rPr>
      <t xml:space="preserve">52 </t>
    </r>
    <r>
      <rPr>
        <sz val="11"/>
        <rFont val="Noto Sans CJK SC"/>
        <family val="2"/>
      </rPr>
      <t xml:space="preserve">週高低、均量）</t>
    </r>
  </si>
  <si>
    <t xml:space="preserve">https://www.twse.com.tw/rwd/zh/afterTrading/MI_INDEX?date=YYYYMMDD&amp;type=ALLBUT0999&amp;response=json</t>
  </si>
  <si>
    <r>
      <rPr>
        <sz val="11"/>
        <rFont val="Noto Sans CJK SC"/>
        <family val="2"/>
      </rPr>
      <t xml:space="preserve">上市 </t>
    </r>
    <r>
      <rPr>
        <sz val="11"/>
        <rFont val="Arial"/>
        <family val="0"/>
        <charset val="1"/>
      </rPr>
      <t xml:space="preserve">10/16 </t>
    </r>
    <r>
      <rPr>
        <sz val="11"/>
        <rFont val="Noto Sans CJK SC"/>
        <family val="2"/>
      </rPr>
      <t xml:space="preserve">行情</t>
    </r>
  </si>
  <si>
    <t xml:space="preserve">https://openapi.twse.com.tw/v1/exchangeReport/STOCK_DAY_ALL</t>
  </si>
  <si>
    <t xml:space="preserve">上市本益比／殖利率／淨值比</t>
  </si>
  <si>
    <t xml:space="preserve">https://openapi.twse.com.tw/v1/exchangeReport/BWIBBU_ALL</t>
  </si>
  <si>
    <t xml:space="preserve">上市公司基本資料（發行股數）</t>
  </si>
  <si>
    <t xml:space="preserve">https://openapi.twse.com.tw/v1/opendata/t187ap03_L</t>
  </si>
  <si>
    <t xml:space="preserve">上市月營收</t>
  </si>
  <si>
    <t xml:space="preserve">https://openapi.twse.com.tw/v1/opendata/t187ap05_L</t>
  </si>
  <si>
    <t xml:space="preserve">上市綜合損益表／資產負債表</t>
  </si>
  <si>
    <r>
      <rPr>
        <sz val="11"/>
        <rFont val="Arial"/>
        <family val="0"/>
        <charset val="1"/>
      </rPr>
      <t xml:space="preserve">https://openapi.twse.com.tw/v1/opendata/t187ap06_L_ci </t>
    </r>
    <r>
      <rPr>
        <sz val="11"/>
        <rFont val="Noto Sans CJK SC"/>
        <family val="2"/>
      </rPr>
      <t xml:space="preserve">（及 </t>
    </r>
    <r>
      <rPr>
        <sz val="11"/>
        <rFont val="Arial"/>
        <family val="0"/>
        <charset val="1"/>
      </rPr>
      <t xml:space="preserve">_basi/_bd/_fh/_ins/_mim</t>
    </r>
    <r>
      <rPr>
        <sz val="11"/>
        <rFont val="Noto Sans CJK SC"/>
        <family val="2"/>
      </rPr>
      <t xml:space="preserve">）；</t>
    </r>
    <r>
      <rPr>
        <sz val="11"/>
        <rFont val="Arial"/>
        <family val="0"/>
        <charset val="1"/>
      </rPr>
      <t xml:space="preserve">t187ap07_L_*</t>
    </r>
  </si>
  <si>
    <t xml:space="preserve">上市營益分析（毛利率）</t>
  </si>
  <si>
    <t xml:space="preserve">https://openapi.twse.com.tw/v1/opendata/t187ap17_L</t>
  </si>
  <si>
    <t xml:space="preserve">上市處置股／變更交易</t>
  </si>
  <si>
    <r>
      <rPr>
        <sz val="11"/>
        <rFont val="Arial"/>
        <family val="0"/>
        <charset val="1"/>
      </rPr>
      <t xml:space="preserve">https://openapi.twse.com.tw/v1/announcement/punish </t>
    </r>
    <r>
      <rPr>
        <sz val="11"/>
        <rFont val="Noto Sans CJK SC"/>
        <family val="2"/>
      </rPr>
      <t xml:space="preserve">； </t>
    </r>
    <r>
      <rPr>
        <sz val="11"/>
        <rFont val="Arial"/>
        <family val="0"/>
        <charset val="1"/>
      </rPr>
      <t xml:space="preserve">https://openapi.twse.com.tw/v1/exchangeReport/TWT85U</t>
    </r>
  </si>
  <si>
    <t xml:space="preserve">上櫃每日收盤行情</t>
  </si>
  <si>
    <t xml:space="preserve">https://www.tpex.org.tw/www/zh-tw/afterTrading/otc?date=YYYY/MM/DD&amp;type=EW&amp;response=json</t>
  </si>
  <si>
    <t xml:space="preserve">上櫃行情／本益比</t>
  </si>
  <si>
    <r>
      <rPr>
        <sz val="11"/>
        <rFont val="Arial"/>
        <family val="0"/>
        <charset val="1"/>
      </rPr>
      <t xml:space="preserve">https://www.tpex.org.tw/openapi/v1/tpex_mainboard_quotes </t>
    </r>
    <r>
      <rPr>
        <sz val="11"/>
        <rFont val="Noto Sans CJK SC"/>
        <family val="2"/>
      </rPr>
      <t xml:space="preserve">； </t>
    </r>
    <r>
      <rPr>
        <sz val="11"/>
        <rFont val="Arial"/>
        <family val="0"/>
        <charset val="1"/>
      </rPr>
      <t xml:space="preserve">https://www.tpex.org.tw/openapi/v1/tpex_mainboard_peratio_analysis</t>
    </r>
  </si>
  <si>
    <t xml:space="preserve">上櫃基本資料／月營收／財報</t>
  </si>
  <si>
    <r>
      <rPr>
        <sz val="11"/>
        <rFont val="Arial"/>
        <family val="0"/>
        <charset val="1"/>
      </rPr>
      <t xml:space="preserve">https://www.tpex.org.tw/openapi/v1/mopsfin_t187ap03_O </t>
    </r>
    <r>
      <rPr>
        <sz val="11"/>
        <rFont val="Noto Sans CJK SC"/>
        <family val="2"/>
      </rPr>
      <t xml:space="preserve">； </t>
    </r>
    <r>
      <rPr>
        <sz val="11"/>
        <rFont val="Arial"/>
        <family val="0"/>
        <charset val="1"/>
      </rPr>
      <t xml:space="preserve">mopsfin_t187ap05_O </t>
    </r>
    <r>
      <rPr>
        <sz val="11"/>
        <rFont val="Noto Sans CJK SC"/>
        <family val="2"/>
      </rPr>
      <t xml:space="preserve">； </t>
    </r>
    <r>
      <rPr>
        <sz val="11"/>
        <rFont val="Arial"/>
        <family val="0"/>
        <charset val="1"/>
      </rPr>
      <t xml:space="preserve">mopsfin_t187ap06_O_* </t>
    </r>
    <r>
      <rPr>
        <sz val="11"/>
        <rFont val="Noto Sans CJK SC"/>
        <family val="2"/>
      </rPr>
      <t xml:space="preserve">； </t>
    </r>
    <r>
      <rPr>
        <sz val="11"/>
        <rFont val="Arial"/>
        <family val="0"/>
        <charset val="1"/>
      </rPr>
      <t xml:space="preserve">mopsfin_t187ap07_O_*</t>
    </r>
  </si>
  <si>
    <t xml:space="preserve">上櫃處置股</t>
  </si>
  <si>
    <t xml:space="preserve">https://www.tpex.org.tw/openapi/v1/tpex_disposal_information</t>
  </si>
  <si>
    <r>
      <rPr>
        <sz val="11"/>
        <rFont val="Noto Sans CJK SC"/>
        <family val="2"/>
      </rPr>
      <t xml:space="preserve">單季 </t>
    </r>
    <r>
      <rPr>
        <sz val="11"/>
        <rFont val="Arial"/>
        <family val="0"/>
        <charset val="1"/>
      </rPr>
      <t xml:space="preserve">EPS</t>
    </r>
    <r>
      <rPr>
        <sz val="11"/>
        <rFont val="Noto Sans CJK SC"/>
        <family val="2"/>
      </rPr>
      <t xml:space="preserve">、現金流量（逐檔）</t>
    </r>
  </si>
  <si>
    <r>
      <rPr>
        <sz val="11"/>
        <rFont val="Arial"/>
        <family val="0"/>
        <charset val="1"/>
      </rPr>
      <t xml:space="preserve">https://tw.stock.yahoo.com/quote/</t>
    </r>
    <r>
      <rPr>
        <sz val="11"/>
        <rFont val="Noto Sans CJK SC"/>
        <family val="2"/>
      </rPr>
      <t xml:space="preserve">代號</t>
    </r>
    <r>
      <rPr>
        <sz val="11"/>
        <rFont val="Arial"/>
        <family val="0"/>
        <charset val="1"/>
      </rPr>
      <t xml:space="preserve">.TW/eps </t>
    </r>
    <r>
      <rPr>
        <sz val="11"/>
        <rFont val="Noto Sans CJK SC"/>
        <family val="2"/>
      </rPr>
      <t xml:space="preserve">； </t>
    </r>
    <r>
      <rPr>
        <sz val="11"/>
        <rFont val="Arial"/>
        <family val="0"/>
        <charset val="1"/>
      </rPr>
      <t xml:space="preserve">https://tw.stock.yahoo.com/quote/</t>
    </r>
    <r>
      <rPr>
        <sz val="11"/>
        <rFont val="Noto Sans CJK SC"/>
        <family val="2"/>
      </rPr>
      <t xml:space="preserve">代號</t>
    </r>
    <r>
      <rPr>
        <sz val="11"/>
        <rFont val="Arial"/>
        <family val="0"/>
        <charset val="1"/>
      </rPr>
      <t xml:space="preserve">.TW/cash-flow-statement</t>
    </r>
    <r>
      <rPr>
        <sz val="11"/>
        <rFont val="Noto Sans CJK SC"/>
        <family val="2"/>
      </rPr>
      <t xml:space="preserve">（網址逐檔列在「季資料」）</t>
    </r>
  </si>
  <si>
    <t xml:space="preserve">已知限制</t>
  </si>
  <si>
    <t xml:space="preserve">1</t>
  </si>
  <si>
    <r>
      <rPr>
        <sz val="11"/>
        <rFont val="Noto Sans CJK SC"/>
        <family val="2"/>
      </rPr>
      <t xml:space="preserve">公開資訊觀測站擋住雲端連線，現金流量改用 </t>
    </r>
    <r>
      <rPr>
        <sz val="11"/>
        <rFont val="Arial"/>
        <family val="0"/>
        <charset val="1"/>
      </rPr>
      <t xml:space="preserve">Yahoo </t>
    </r>
    <r>
      <rPr>
        <sz val="11"/>
        <rFont val="Noto Sans CJK SC"/>
        <family val="2"/>
      </rPr>
      <t xml:space="preserve">股市；</t>
    </r>
    <r>
      <rPr>
        <sz val="11"/>
        <rFont val="Arial"/>
        <family val="0"/>
        <charset val="1"/>
      </rPr>
      <t xml:space="preserve">Yahoo </t>
    </r>
    <r>
      <rPr>
        <sz val="11"/>
        <rFont val="Noto Sans CJK SC"/>
        <family val="2"/>
      </rPr>
      <t xml:space="preserve">的自由現金流定義＝營業＋投資現金流</t>
    </r>
  </si>
  <si>
    <t xml:space="preserve">2</t>
  </si>
  <si>
    <r>
      <rPr>
        <sz val="11"/>
        <rFont val="Noto Sans CJK SC"/>
        <family val="2"/>
      </rPr>
      <t xml:space="preserve">現金流與單季 </t>
    </r>
    <r>
      <rPr>
        <sz val="11"/>
        <rFont val="Arial"/>
        <family val="0"/>
        <charset val="1"/>
      </rPr>
      <t xml:space="preserve">EPS </t>
    </r>
    <r>
      <rPr>
        <sz val="11"/>
        <rFont val="Noto Sans CJK SC"/>
        <family val="2"/>
      </rPr>
      <t xml:space="preserve">只查了評分前 </t>
    </r>
    <r>
      <rPr>
        <sz val="11"/>
        <rFont val="Arial"/>
        <family val="0"/>
        <charset val="1"/>
      </rPr>
      <t xml:space="preserve">15 </t>
    </r>
    <r>
      <rPr>
        <sz val="11"/>
        <rFont val="Noto Sans CJK SC"/>
        <family val="2"/>
      </rPr>
      <t xml:space="preserve">名；其餘 </t>
    </r>
    <r>
      <rPr>
        <sz val="11"/>
        <rFont val="Arial"/>
        <family val="0"/>
        <charset val="1"/>
      </rPr>
      <t xml:space="preserve">19 </t>
    </r>
    <r>
      <rPr>
        <sz val="11"/>
        <rFont val="Noto Sans CJK SC"/>
        <family val="2"/>
      </rPr>
      <t xml:space="preserve">檔通過名單未逐檔檢查</t>
    </r>
  </si>
  <si>
    <t xml:space="preserve">3</t>
  </si>
  <si>
    <t xml:space="preserve">上櫃全額交割股沒有獨立清單，只排除了處置股</t>
  </si>
  <si>
    <t xml:space="preserve">4</t>
  </si>
  <si>
    <r>
      <rPr>
        <sz val="11"/>
        <rFont val="Arial"/>
        <family val="0"/>
        <charset val="1"/>
      </rPr>
      <t xml:space="preserve">9904 </t>
    </r>
    <r>
      <rPr>
        <sz val="11"/>
        <rFont val="Noto Sans CJK SC"/>
        <family val="2"/>
      </rPr>
      <t xml:space="preserve">寶成 </t>
    </r>
    <r>
      <rPr>
        <sz val="11"/>
        <rFont val="Arial"/>
        <family val="0"/>
        <charset val="1"/>
      </rPr>
      <t xml:space="preserve">Yahoo </t>
    </r>
    <r>
      <rPr>
        <sz val="11"/>
        <rFont val="Noto Sans CJK SC"/>
        <family val="2"/>
      </rPr>
      <t xml:space="preserve">現金流只到 </t>
    </r>
    <r>
      <rPr>
        <sz val="11"/>
        <rFont val="Arial"/>
        <family val="0"/>
        <charset val="1"/>
      </rPr>
      <t xml:space="preserve">2026Q1</t>
    </r>
  </si>
  <si>
    <t xml:space="preserve">5</t>
  </si>
  <si>
    <t xml:space="preserve">投資論點／催化劑／風險只根據數字判斷，尚未查證新聞、法說會與除權息日程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</si>
</sst>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"/>
    <numFmt numFmtId="166" formatCode="0.00"/>
    <numFmt numFmtId="167" formatCode="#,##0"/>
    <numFmt numFmtId="168" formatCode="0.0%"/>
    <numFmt numFmtId="169" formatCode="0.0\x"/>
    <numFmt numFmtId="170" formatCode="0.00%"/>
    <numFmt numFmtId="171" formatCode="#,##0.0;\(#,##0.0\)"/>
    <numFmt numFmtId="172" formatCode="0.0"/>
    <numFmt numFmtId="173" formatCode="#,##0;\(#,##0\)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sz val="11"/>
      <color rgb="FF0000FF"/>
      <name val="Noto Sans CJK SC"/>
      <family val="2"/>
    </font>
    <font>
      <sz val="11"/>
      <color rgb="FF0000FF"/>
      <name val="Arial"/>
      <family val="0"/>
      <charset val="1"/>
    </font>
    <font>
      <b val="true"/>
      <sz val="11"/>
      <color rgb="FFC00000"/>
      <name val="Noto Sans CJK SC"/>
      <family val="2"/>
    </font>
    <font>
      <b val="true"/>
      <sz val="11"/>
      <color rgb="FFC00000"/>
      <name val="Arial"/>
      <family val="0"/>
      <charset val="1"/>
    </font>
    <font>
      <i val="true"/>
      <sz val="11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1"/>
      <color theme="1"/>
      <name val="Noto Sans CJK SC"/>
      <family val="2"/>
    </font>
    <font>
      <i val="true"/>
      <sz val="11"/>
      <name val="Arial"/>
      <family val="0"/>
      <charset val="1"/>
    </font>
    <font>
      <b val="true"/>
      <sz val="14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9" min="7" style="0" width="9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0" width="8"/>
    <col collapsed="false" customWidth="true" hidden="false" outlineLevel="0" max="14" min="14" style="0" width="6"/>
    <col collapsed="false" customWidth="true" hidden="false" outlineLevel="0" max="15" min="15" style="0" width="7"/>
    <col collapsed="false" customWidth="true" hidden="false" outlineLevel="0" max="16" min="16" style="0" width="8"/>
    <col collapsed="false" customWidth="true" hidden="false" outlineLevel="0" max="19" min="17" style="0" width="9"/>
    <col collapsed="false" customWidth="true" hidden="false" outlineLevel="0" max="21" min="20" style="0" width="10"/>
    <col collapsed="false" customWidth="true" hidden="false" outlineLevel="0" max="22" min="22" style="0" width="8"/>
    <col collapsed="false" customWidth="true" hidden="false" outlineLevel="0" max="24" min="23" style="0" width="9"/>
    <col collapsed="false" customWidth="true" hidden="false" outlineLevel="0" max="25" min="25" style="0" width="8"/>
    <col collapsed="false" customWidth="true" hidden="false" outlineLevel="0" max="26" min="26" style="0" width="40"/>
    <col collapsed="false" customWidth="true" hidden="false" outlineLevel="0" max="27" min="27" style="0" width="34"/>
    <col collapsed="false" customWidth="true" hidden="false" outlineLevel="0" max="28" min="28" style="0" width="40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48.5" hidden="false" customHeight="false" outlineLevel="0" collapsed="false">
      <c r="A2" s="3" t="n">
        <v>1</v>
      </c>
      <c r="B2" s="3" t="s">
        <v>28</v>
      </c>
      <c r="C2" s="4" t="s">
        <v>29</v>
      </c>
      <c r="D2" s="4" t="s">
        <v>30</v>
      </c>
      <c r="E2" s="5" t="s">
        <v>31</v>
      </c>
      <c r="F2" s="6" t="n">
        <v>553.62</v>
      </c>
      <c r="G2" s="7" t="n">
        <v>53</v>
      </c>
      <c r="H2" s="8" t="n">
        <f aca="false">F2*G2/100</f>
        <v>293.4186</v>
      </c>
      <c r="I2" s="7" t="n">
        <v>50</v>
      </c>
      <c r="J2" s="9" t="s">
        <v>32</v>
      </c>
      <c r="K2" s="10" t="n">
        <f aca="false">G2/I2-1</f>
        <v>0.0600000000000001</v>
      </c>
      <c r="L2" s="11" t="n">
        <f aca="false">SUM(季資料!C2:F2)</f>
        <v>6.21</v>
      </c>
      <c r="M2" s="12" t="n">
        <f aca="false">G2/L2</f>
        <v>8.53462157809984</v>
      </c>
      <c r="N2" s="7" t="n">
        <v>0.77</v>
      </c>
      <c r="O2" s="13" t="n">
        <v>0.0679</v>
      </c>
      <c r="P2" s="9" t="s">
        <v>33</v>
      </c>
      <c r="Q2" s="14" t="n">
        <v>0.0416554466623528</v>
      </c>
      <c r="R2" s="14" t="n">
        <v>0.0853209252428604</v>
      </c>
      <c r="S2" s="10" t="n">
        <f aca="false">SUM(季資料!C2:D2)/SUM(季資料!G2:H2)-1</f>
        <v>0.316872427983539</v>
      </c>
      <c r="T2" s="15" t="n">
        <f aca="false">SUM(季資料!I2:L2)/100000</f>
        <v>17.50375</v>
      </c>
      <c r="U2" s="15" t="n">
        <f aca="false">SUM(季資料!M2:P2)/100000</f>
        <v>13.69331</v>
      </c>
      <c r="V2" s="14" t="n">
        <v>0.240175498235064</v>
      </c>
      <c r="W2" s="14" t="n">
        <v>0.0908961397569259</v>
      </c>
      <c r="X2" s="16" t="n">
        <v>596</v>
      </c>
      <c r="Y2" s="17" t="n">
        <v>85.6</v>
      </c>
      <c r="Z2" s="5" t="s">
        <v>34</v>
      </c>
      <c r="AA2" s="9" t="s">
        <v>35</v>
      </c>
      <c r="AB2" s="5" t="s">
        <v>36</v>
      </c>
    </row>
    <row r="3" customFormat="false" ht="32.8" hidden="false" customHeight="false" outlineLevel="0" collapsed="false">
      <c r="A3" s="3" t="n">
        <v>2</v>
      </c>
      <c r="B3" s="3" t="s">
        <v>37</v>
      </c>
      <c r="C3" s="4" t="s">
        <v>38</v>
      </c>
      <c r="D3" s="4" t="s">
        <v>30</v>
      </c>
      <c r="E3" s="5" t="s">
        <v>39</v>
      </c>
      <c r="F3" s="6" t="n">
        <v>397.82</v>
      </c>
      <c r="G3" s="7" t="n">
        <v>31.45</v>
      </c>
      <c r="H3" s="8" t="n">
        <f aca="false">F3*G3/100</f>
        <v>125.11439</v>
      </c>
      <c r="I3" s="7" t="n">
        <v>30</v>
      </c>
      <c r="J3" s="9" t="s">
        <v>40</v>
      </c>
      <c r="K3" s="10" t="n">
        <f aca="false">G3/I3-1</f>
        <v>0.0483333333333333</v>
      </c>
      <c r="L3" s="11" t="n">
        <f aca="false">SUM(季資料!C3:F3)</f>
        <v>3.35</v>
      </c>
      <c r="M3" s="12" t="n">
        <f aca="false">G3/L3</f>
        <v>9.38805970149254</v>
      </c>
      <c r="N3" s="7" t="n">
        <v>1.26</v>
      </c>
      <c r="O3" s="13" t="n">
        <v>0.07</v>
      </c>
      <c r="P3" s="9" t="s">
        <v>33</v>
      </c>
      <c r="Q3" s="14" t="n">
        <v>0.00169690878179699</v>
      </c>
      <c r="R3" s="14" t="n">
        <v>0.0567272970531836</v>
      </c>
      <c r="S3" s="10" t="n">
        <f aca="false">SUM(季資料!C3:D3)/SUM(季資料!G3:H3)-1</f>
        <v>0.520833333333333</v>
      </c>
      <c r="T3" s="15" t="n">
        <f aca="false">SUM(季資料!I3:L3)/100000</f>
        <v>8.40238</v>
      </c>
      <c r="U3" s="15" t="n">
        <f aca="false">SUM(季資料!M3:P3)/100000</f>
        <v>0.07797</v>
      </c>
      <c r="V3" s="14" t="n">
        <v>0.467162719724048</v>
      </c>
      <c r="W3" s="14" t="n">
        <v>0.116723055440805</v>
      </c>
      <c r="X3" s="16" t="n">
        <v>532</v>
      </c>
      <c r="Y3" s="17" t="n">
        <v>81.1</v>
      </c>
      <c r="Z3" s="5" t="s">
        <v>41</v>
      </c>
      <c r="AA3" s="5" t="s">
        <v>42</v>
      </c>
      <c r="AB3" s="9" t="s">
        <v>43</v>
      </c>
    </row>
    <row r="4" customFormat="false" ht="48.5" hidden="false" customHeight="false" outlineLevel="0" collapsed="false">
      <c r="A4" s="3" t="n">
        <v>3</v>
      </c>
      <c r="B4" s="3" t="s">
        <v>44</v>
      </c>
      <c r="C4" s="4" t="s">
        <v>45</v>
      </c>
      <c r="D4" s="4" t="s">
        <v>30</v>
      </c>
      <c r="E4" s="5" t="s">
        <v>46</v>
      </c>
      <c r="F4" s="6" t="n">
        <v>1180</v>
      </c>
      <c r="G4" s="7" t="n">
        <v>32</v>
      </c>
      <c r="H4" s="8" t="n">
        <f aca="false">F4*G4/100</f>
        <v>377.6</v>
      </c>
      <c r="I4" s="7" t="n">
        <v>30.15</v>
      </c>
      <c r="J4" s="9" t="s">
        <v>47</v>
      </c>
      <c r="K4" s="10" t="n">
        <f aca="false">G4/I4-1</f>
        <v>0.0613598673300166</v>
      </c>
      <c r="L4" s="11" t="n">
        <f aca="false">SUM(季資料!C4:F4)</f>
        <v>3.19</v>
      </c>
      <c r="M4" s="12" t="n">
        <f aca="false">G4/L4</f>
        <v>10.0313479623824</v>
      </c>
      <c r="N4" s="7" t="n">
        <v>1.45</v>
      </c>
      <c r="O4" s="13" t="n">
        <v>0.0813</v>
      </c>
      <c r="P4" s="9" t="s">
        <v>33</v>
      </c>
      <c r="Q4" s="14" t="n">
        <v>-0.0228938594732298</v>
      </c>
      <c r="R4" s="14" t="n">
        <v>-0.0754729228298895</v>
      </c>
      <c r="S4" s="10" t="n">
        <f aca="false">SUM(季資料!C4:D4)/SUM(季資料!G4:H4)-1</f>
        <v>-0.069620253164557</v>
      </c>
      <c r="T4" s="15" t="n">
        <f aca="false">SUM(季資料!I4:L4)/100000</f>
        <v>51.50165</v>
      </c>
      <c r="U4" s="15" t="n">
        <f aca="false">SUM(季資料!M4:P4)/100000</f>
        <v>7.77839</v>
      </c>
      <c r="V4" s="14" t="n">
        <v>0.460774257380409</v>
      </c>
      <c r="W4" s="14" t="n">
        <v>0.133875613779054</v>
      </c>
      <c r="X4" s="16" t="n">
        <v>1671</v>
      </c>
      <c r="Y4" s="17" t="n">
        <v>75</v>
      </c>
      <c r="Z4" s="5" t="s">
        <v>48</v>
      </c>
      <c r="AA4" s="5" t="s">
        <v>49</v>
      </c>
      <c r="AB4" s="5" t="s">
        <v>50</v>
      </c>
    </row>
    <row r="5" customFormat="false" ht="48.5" hidden="false" customHeight="false" outlineLevel="0" collapsed="false">
      <c r="A5" s="3" t="n">
        <v>4</v>
      </c>
      <c r="B5" s="3" t="s">
        <v>51</v>
      </c>
      <c r="C5" s="4" t="s">
        <v>52</v>
      </c>
      <c r="D5" s="4" t="s">
        <v>30</v>
      </c>
      <c r="E5" s="5" t="s">
        <v>53</v>
      </c>
      <c r="F5" s="6" t="n">
        <v>894.77</v>
      </c>
      <c r="G5" s="7" t="n">
        <v>51.7</v>
      </c>
      <c r="H5" s="8" t="n">
        <f aca="false">F5*G5/100</f>
        <v>462.59609</v>
      </c>
      <c r="I5" s="7" t="n">
        <v>50.2</v>
      </c>
      <c r="J5" s="9" t="s">
        <v>54</v>
      </c>
      <c r="K5" s="10" t="n">
        <f aca="false">G5/I5-1</f>
        <v>0.0298804780876494</v>
      </c>
      <c r="L5" s="11" t="n">
        <f aca="false">SUM(季資料!C5:F5)</f>
        <v>4.06</v>
      </c>
      <c r="M5" s="12" t="n">
        <f aca="false">G5/L5</f>
        <v>12.7339901477833</v>
      </c>
      <c r="N5" s="7" t="n">
        <v>1.69</v>
      </c>
      <c r="O5" s="13" t="n">
        <v>0.058</v>
      </c>
      <c r="P5" s="9" t="s">
        <v>33</v>
      </c>
      <c r="Q5" s="14" t="n">
        <v>0.131549143146864</v>
      </c>
      <c r="R5" s="14" t="n">
        <v>0.0952432210134596</v>
      </c>
      <c r="S5" s="10" t="n">
        <f aca="false">SUM(季資料!C5:D5)/SUM(季資料!G5:H5)-1</f>
        <v>-0.150289017341041</v>
      </c>
      <c r="T5" s="15" t="n">
        <f aca="false">SUM(季資料!I5:L5)/100000</f>
        <v>64.67303</v>
      </c>
      <c r="U5" s="15" t="n">
        <f aca="false">SUM(季資料!M5:P5)/100000</f>
        <v>-6.17491</v>
      </c>
      <c r="V5" s="14" t="n">
        <v>0.55780022133919</v>
      </c>
      <c r="W5" s="14" t="n">
        <v>0.0967599279091842</v>
      </c>
      <c r="X5" s="16" t="n">
        <v>1145</v>
      </c>
      <c r="Y5" s="17" t="n">
        <v>74.2</v>
      </c>
      <c r="Z5" s="5" t="s">
        <v>55</v>
      </c>
      <c r="AA5" s="9" t="s">
        <v>56</v>
      </c>
      <c r="AB5" s="5" t="s">
        <v>57</v>
      </c>
    </row>
    <row r="6" customFormat="false" ht="48.5" hidden="false" customHeight="false" outlineLevel="0" collapsed="false">
      <c r="A6" s="3" t="n">
        <v>5</v>
      </c>
      <c r="B6" s="3" t="s">
        <v>58</v>
      </c>
      <c r="C6" s="4" t="s">
        <v>59</v>
      </c>
      <c r="D6" s="4" t="s">
        <v>30</v>
      </c>
      <c r="E6" s="5" t="s">
        <v>60</v>
      </c>
      <c r="F6" s="6" t="n">
        <v>266.9</v>
      </c>
      <c r="G6" s="7" t="n">
        <v>87.4</v>
      </c>
      <c r="H6" s="8" t="n">
        <f aca="false">F6*G6/100</f>
        <v>233.2706</v>
      </c>
      <c r="I6" s="7" t="n">
        <v>87.3</v>
      </c>
      <c r="J6" s="9" t="s">
        <v>61</v>
      </c>
      <c r="K6" s="10" t="n">
        <f aca="false">G6/I6-1</f>
        <v>0.00114547537227949</v>
      </c>
      <c r="L6" s="11" t="n">
        <f aca="false">SUM(季資料!C6:F6)</f>
        <v>7.02</v>
      </c>
      <c r="M6" s="12" t="n">
        <f aca="false">G6/L6</f>
        <v>12.4501424501425</v>
      </c>
      <c r="N6" s="7" t="n">
        <v>1.83</v>
      </c>
      <c r="O6" s="13" t="n">
        <v>0.0515</v>
      </c>
      <c r="P6" s="9" t="s">
        <v>33</v>
      </c>
      <c r="Q6" s="14" t="n">
        <v>0.833270475978352</v>
      </c>
      <c r="R6" s="14" t="n">
        <v>0.455909490190886</v>
      </c>
      <c r="S6" s="10" t="n">
        <f aca="false">SUM(季資料!C6:D6)/SUM(季資料!G6:H6)-1</f>
        <v>0.133333333333334</v>
      </c>
      <c r="T6" s="15" t="n">
        <f aca="false">SUM(季資料!I6:L6)/100000</f>
        <v>39.16449</v>
      </c>
      <c r="U6" s="15" t="n">
        <f aca="false">SUM(季資料!M6:P6)/100000</f>
        <v>-75.44982</v>
      </c>
      <c r="V6" s="14" t="n">
        <v>0.564246713898291</v>
      </c>
      <c r="W6" s="14" t="n">
        <v>0.171024299745251</v>
      </c>
      <c r="X6" s="16" t="n">
        <v>1358</v>
      </c>
      <c r="Y6" s="17" t="n">
        <v>72.7</v>
      </c>
      <c r="Z6" s="5" t="s">
        <v>62</v>
      </c>
      <c r="AA6" s="9" t="s">
        <v>63</v>
      </c>
      <c r="AB6" s="9" t="s">
        <v>64</v>
      </c>
    </row>
    <row r="7" customFormat="false" ht="32.8" hidden="false" customHeight="false" outlineLevel="0" collapsed="false">
      <c r="A7" s="3" t="n">
        <v>6</v>
      </c>
      <c r="B7" s="3" t="s">
        <v>65</v>
      </c>
      <c r="C7" s="4" t="s">
        <v>66</v>
      </c>
      <c r="D7" s="4" t="s">
        <v>30</v>
      </c>
      <c r="E7" s="5" t="s">
        <v>67</v>
      </c>
      <c r="F7" s="6" t="n">
        <v>2946.79</v>
      </c>
      <c r="G7" s="7" t="n">
        <v>26.5</v>
      </c>
      <c r="H7" s="8" t="n">
        <f aca="false">F7*G7/100</f>
        <v>780.89935</v>
      </c>
      <c r="I7" s="7" t="n">
        <v>23.3</v>
      </c>
      <c r="J7" s="9" t="s">
        <v>68</v>
      </c>
      <c r="K7" s="10" t="n">
        <f aca="false">G7/I7-1</f>
        <v>0.137339055793991</v>
      </c>
      <c r="L7" s="11" t="n">
        <f aca="false">SUM(季資料!C7:F7)</f>
        <v>4.71</v>
      </c>
      <c r="M7" s="12" t="n">
        <f aca="false">G7/L7</f>
        <v>5.62632696390658</v>
      </c>
      <c r="N7" s="7" t="n">
        <v>0.42</v>
      </c>
      <c r="O7" s="13" t="n">
        <v>0.0491</v>
      </c>
      <c r="P7" s="9" t="s">
        <v>33</v>
      </c>
      <c r="Q7" s="14" t="n">
        <v>0.104025452294054</v>
      </c>
      <c r="R7" s="14" t="n">
        <v>-0.00515411628827971</v>
      </c>
      <c r="S7" s="10" t="n">
        <f aca="false">SUM(季資料!C7:D7)/SUM(季資料!G7:H7)-1</f>
        <v>0.354285714285714</v>
      </c>
      <c r="T7" s="15" t="n">
        <f aca="false">SUM(季資料!I7:L7)/100000</f>
        <v>144.09395</v>
      </c>
      <c r="U7" s="15" t="n">
        <f aca="false">SUM(季資料!M7:P7)/100000</f>
        <v>-17.14168</v>
      </c>
      <c r="V7" s="14" t="n">
        <v>0.341307132949049</v>
      </c>
      <c r="W7" s="14" t="n">
        <v>0.0746763574868948</v>
      </c>
      <c r="X7" s="16" t="n">
        <v>13381</v>
      </c>
      <c r="Y7" s="17" t="n">
        <v>68.2</v>
      </c>
      <c r="Z7" s="5" t="s">
        <v>69</v>
      </c>
      <c r="AA7" s="9" t="s">
        <v>70</v>
      </c>
      <c r="AB7" s="5" t="s">
        <v>71</v>
      </c>
    </row>
    <row r="8" customFormat="false" ht="32.8" hidden="false" customHeight="false" outlineLevel="0" collapsed="false">
      <c r="A8" s="3" t="n">
        <v>7</v>
      </c>
      <c r="B8" s="3" t="s">
        <v>72</v>
      </c>
      <c r="C8" s="4" t="s">
        <v>73</v>
      </c>
      <c r="D8" s="4" t="s">
        <v>30</v>
      </c>
      <c r="E8" s="5" t="s">
        <v>74</v>
      </c>
      <c r="F8" s="6" t="n">
        <v>980</v>
      </c>
      <c r="G8" s="7" t="n">
        <v>42.1</v>
      </c>
      <c r="H8" s="8" t="n">
        <f aca="false">F8*G8/100</f>
        <v>412.58</v>
      </c>
      <c r="I8" s="7" t="n">
        <v>40.85</v>
      </c>
      <c r="J8" s="9" t="s">
        <v>75</v>
      </c>
      <c r="K8" s="10" t="n">
        <f aca="false">G8/I8-1</f>
        <v>0.0305997552019583</v>
      </c>
      <c r="L8" s="11" t="n">
        <f aca="false">SUM(季資料!C8:F8)</f>
        <v>0.84</v>
      </c>
      <c r="M8" s="12" t="n">
        <f aca="false">G8/L8</f>
        <v>50.1190476190476</v>
      </c>
      <c r="N8" s="7" t="n">
        <v>0.78</v>
      </c>
      <c r="O8" s="13" t="n">
        <v>0.0475</v>
      </c>
      <c r="P8" s="9" t="s">
        <v>33</v>
      </c>
      <c r="Q8" s="14" t="n">
        <v>0.0696998624765918</v>
      </c>
      <c r="R8" s="14" t="n">
        <v>0.0485852154353494</v>
      </c>
      <c r="S8" s="10" t="n">
        <f aca="false">SUM(季資料!C8:D8)/SUM(季資料!G8:H8)-1</f>
        <v>-0.203703703703704</v>
      </c>
      <c r="T8" s="15" t="n">
        <f aca="false">SUM(季資料!I8:L8)/100000</f>
        <v>18.33994</v>
      </c>
      <c r="U8" s="15" t="n">
        <f aca="false">SUM(季資料!M8:P8)/100000</f>
        <v>-3.08974</v>
      </c>
      <c r="V8" s="14" t="n">
        <v>0.363266488849679</v>
      </c>
      <c r="W8" s="14" t="n">
        <v>0.0158134742540936</v>
      </c>
      <c r="X8" s="16" t="n">
        <v>2454</v>
      </c>
      <c r="Y8" s="17" t="n">
        <v>60.6</v>
      </c>
      <c r="Z8" s="5" t="s">
        <v>76</v>
      </c>
      <c r="AA8" s="5" t="s">
        <v>77</v>
      </c>
      <c r="AB8" s="5" t="s">
        <v>78</v>
      </c>
    </row>
    <row r="9" customFormat="false" ht="32.8" hidden="false" customHeight="false" outlineLevel="0" collapsed="false">
      <c r="A9" s="3" t="n">
        <v>8</v>
      </c>
      <c r="B9" s="3" t="s">
        <v>79</v>
      </c>
      <c r="C9" s="4" t="s">
        <v>80</v>
      </c>
      <c r="D9" s="4" t="s">
        <v>30</v>
      </c>
      <c r="E9" s="5" t="s">
        <v>81</v>
      </c>
      <c r="F9" s="6" t="n">
        <v>110.92</v>
      </c>
      <c r="G9" s="7" t="n">
        <v>281</v>
      </c>
      <c r="H9" s="8" t="n">
        <f aca="false">F9*G9/100</f>
        <v>311.6852</v>
      </c>
      <c r="I9" s="7" t="n">
        <v>271.5</v>
      </c>
      <c r="J9" s="9" t="s">
        <v>82</v>
      </c>
      <c r="K9" s="10" t="n">
        <f aca="false">G9/I9-1</f>
        <v>0.0349907918968693</v>
      </c>
      <c r="L9" s="11" t="n">
        <f aca="false">SUM(季資料!C9:F9)</f>
        <v>20.28</v>
      </c>
      <c r="M9" s="12" t="n">
        <f aca="false">G9/L9</f>
        <v>13.8560157790927</v>
      </c>
      <c r="N9" s="7" t="n">
        <v>1.88</v>
      </c>
      <c r="O9" s="13" t="n">
        <v>0.0391</v>
      </c>
      <c r="P9" s="9" t="s">
        <v>33</v>
      </c>
      <c r="Q9" s="14" t="n">
        <v>0.145491087838701</v>
      </c>
      <c r="R9" s="14" t="n">
        <v>0.193214321715884</v>
      </c>
      <c r="S9" s="10" t="n">
        <f aca="false">SUM(季資料!C9:D9)/SUM(季資料!G9:H9)-1</f>
        <v>-0.121541501976285</v>
      </c>
      <c r="T9" s="15" t="n">
        <f aca="false">SUM(季資料!I9:L9)/100000</f>
        <v>17.38182</v>
      </c>
      <c r="U9" s="15" t="n">
        <f aca="false">SUM(季資料!M9:P9)/100000</f>
        <v>5.81606</v>
      </c>
      <c r="V9" s="14" t="n">
        <v>0.405361181561007</v>
      </c>
      <c r="W9" s="14" t="n">
        <v>0.118897678901681</v>
      </c>
      <c r="X9" s="16" t="n">
        <v>611</v>
      </c>
      <c r="Y9" s="17" t="n">
        <v>59.8</v>
      </c>
      <c r="Z9" s="5" t="s">
        <v>83</v>
      </c>
      <c r="AA9" s="9" t="s">
        <v>84</v>
      </c>
      <c r="AB9" s="5" t="s">
        <v>85</v>
      </c>
    </row>
    <row r="10" customFormat="false" ht="32.8" hidden="false" customHeight="false" outlineLevel="0" collapsed="false">
      <c r="A10" s="3" t="n">
        <v>9</v>
      </c>
      <c r="B10" s="3" t="s">
        <v>86</v>
      </c>
      <c r="C10" s="4" t="s">
        <v>87</v>
      </c>
      <c r="D10" s="4" t="s">
        <v>30</v>
      </c>
      <c r="E10" s="5" t="s">
        <v>88</v>
      </c>
      <c r="F10" s="6" t="n">
        <v>248.64</v>
      </c>
      <c r="G10" s="7" t="n">
        <v>81.5</v>
      </c>
      <c r="H10" s="8" t="n">
        <f aca="false">F10*G10/100</f>
        <v>202.6416</v>
      </c>
      <c r="I10" s="7" t="n">
        <v>74.4</v>
      </c>
      <c r="J10" s="9" t="s">
        <v>89</v>
      </c>
      <c r="K10" s="10" t="n">
        <f aca="false">G10/I10-1</f>
        <v>0.0954301075268818</v>
      </c>
      <c r="L10" s="11" t="n">
        <f aca="false">SUM(季資料!C10:F10)</f>
        <v>5.46</v>
      </c>
      <c r="M10" s="12" t="n">
        <f aca="false">G10/L10</f>
        <v>14.9267399267399</v>
      </c>
      <c r="N10" s="7" t="n">
        <v>1.21</v>
      </c>
      <c r="O10" s="13" t="n">
        <v>0.0501</v>
      </c>
      <c r="P10" s="9" t="s">
        <v>33</v>
      </c>
      <c r="Q10" s="14" t="n">
        <v>0.0405946665170449</v>
      </c>
      <c r="R10" s="14" t="n">
        <v>0.067416808320519</v>
      </c>
      <c r="S10" s="10" t="n">
        <f aca="false">SUM(季資料!C10:D10)/SUM(季資料!G10:H10)-1</f>
        <v>0.06993006993007</v>
      </c>
      <c r="T10" s="15" t="n">
        <f aca="false">SUM(季資料!I10:L10)/100000</f>
        <v>2.22704</v>
      </c>
      <c r="U10" s="15" t="n">
        <f aca="false">SUM(季資料!M10:P10)/100000</f>
        <v>-1.79209</v>
      </c>
      <c r="V10" s="14" t="n">
        <v>0.544393447852685</v>
      </c>
      <c r="W10" s="14" t="n">
        <v>0.04549394296923</v>
      </c>
      <c r="X10" s="16" t="n">
        <v>1770</v>
      </c>
      <c r="Y10" s="17" t="n">
        <v>59.1</v>
      </c>
      <c r="Z10" s="5" t="s">
        <v>90</v>
      </c>
      <c r="AA10" s="9" t="s">
        <v>91</v>
      </c>
      <c r="AB10" s="5" t="s">
        <v>92</v>
      </c>
    </row>
    <row r="11" customFormat="false" ht="32.8" hidden="false" customHeight="false" outlineLevel="0" collapsed="false">
      <c r="A11" s="3" t="n">
        <v>10</v>
      </c>
      <c r="B11" s="3" t="s">
        <v>93</v>
      </c>
      <c r="C11" s="4" t="s">
        <v>94</v>
      </c>
      <c r="D11" s="4" t="s">
        <v>95</v>
      </c>
      <c r="E11" s="5" t="s">
        <v>96</v>
      </c>
      <c r="F11" s="6" t="n">
        <v>550.43</v>
      </c>
      <c r="G11" s="7" t="n">
        <v>30.3</v>
      </c>
      <c r="H11" s="8" t="n">
        <f aca="false">F11*G11/100</f>
        <v>166.78029</v>
      </c>
      <c r="I11" s="7" t="n">
        <v>28.75</v>
      </c>
      <c r="J11" s="9" t="s">
        <v>97</v>
      </c>
      <c r="K11" s="10" t="n">
        <f aca="false">G11/I11-1</f>
        <v>0.0539130434782609</v>
      </c>
      <c r="L11" s="11" t="n">
        <f aca="false">SUM(季資料!C11:F11)</f>
        <v>1.61</v>
      </c>
      <c r="M11" s="12" t="n">
        <f aca="false">G11/L11</f>
        <v>18.8198757763975</v>
      </c>
      <c r="N11" s="7" t="n">
        <v>1.76</v>
      </c>
      <c r="O11" s="13" t="n">
        <v>0.0544</v>
      </c>
      <c r="P11" s="9" t="s">
        <v>33</v>
      </c>
      <c r="Q11" s="14" t="n">
        <v>0.38692673326154</v>
      </c>
      <c r="R11" s="14" t="n">
        <v>0.27041315751595</v>
      </c>
      <c r="S11" s="10" t="n">
        <f aca="false">SUM(季資料!C11:D11)/SUM(季資料!G11:H11)-1</f>
        <v>-0.108695652173913</v>
      </c>
      <c r="T11" s="15" t="n">
        <f aca="false">SUM(季資料!I11:L11)/100000</f>
        <v>3.84053</v>
      </c>
      <c r="U11" s="15" t="n">
        <f aca="false">SUM(季資料!M11:P11)/100000</f>
        <v>-7.34378</v>
      </c>
      <c r="V11" s="14" t="n">
        <v>0.354077750254433</v>
      </c>
      <c r="W11" s="14" t="n">
        <v>0.0995148493285998</v>
      </c>
      <c r="X11" s="16" t="n">
        <v>854</v>
      </c>
      <c r="Y11" s="17" t="n">
        <v>59.1</v>
      </c>
      <c r="Z11" s="5" t="s">
        <v>98</v>
      </c>
      <c r="AA11" s="5" t="s">
        <v>99</v>
      </c>
      <c r="AB11" s="5" t="s">
        <v>100</v>
      </c>
    </row>
    <row r="13" customFormat="false" ht="17.15" hidden="false" customHeight="false" outlineLevel="0" collapsed="false">
      <c r="A13" s="18" t="s">
        <v>101</v>
      </c>
    </row>
    <row r="14" customFormat="false" ht="15" hidden="false" customHeight="false" outlineLevel="0" collapsed="false">
      <c r="A14" s="19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9" min="7" style="0" width="9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0" width="8"/>
    <col collapsed="false" customWidth="true" hidden="false" outlineLevel="0" max="14" min="14" style="0" width="6"/>
    <col collapsed="false" customWidth="true" hidden="false" outlineLevel="0" max="15" min="15" style="0" width="7"/>
    <col collapsed="false" customWidth="true" hidden="false" outlineLevel="0" max="16" min="16" style="0" width="8"/>
    <col collapsed="false" customWidth="true" hidden="false" outlineLevel="0" max="19" min="17" style="0" width="9"/>
    <col collapsed="false" customWidth="true" hidden="false" outlineLevel="0" max="21" min="20" style="0" width="10"/>
    <col collapsed="false" customWidth="true" hidden="false" outlineLevel="0" max="22" min="22" style="0" width="8"/>
    <col collapsed="false" customWidth="true" hidden="false" outlineLevel="0" max="24" min="23" style="0" width="9"/>
    <col collapsed="false" customWidth="true" hidden="false" outlineLevel="0" max="25" min="25" style="0" width="8"/>
    <col collapsed="false" customWidth="true" hidden="false" outlineLevel="0" max="26" min="26" style="0" width="40"/>
    <col collapsed="false" customWidth="true" hidden="false" outlineLevel="0" max="27" min="27" style="0" width="34"/>
    <col collapsed="false" customWidth="true" hidden="false" outlineLevel="0" max="28" min="28" style="0" width="40"/>
  </cols>
  <sheetData>
    <row r="1" customFormat="false" ht="17.15" hidden="false" customHeight="false" outlineLevel="0" collapsed="false">
      <c r="A1" s="20" t="s">
        <v>103</v>
      </c>
    </row>
    <row r="2" customFormat="false" ht="48.5" hidden="false" customHeight="false" outlineLevel="0" collapsed="false">
      <c r="A2" s="21" t="s">
        <v>0</v>
      </c>
      <c r="B2" s="21" t="s">
        <v>1</v>
      </c>
      <c r="C2" s="21" t="s">
        <v>2</v>
      </c>
      <c r="D2" s="21" t="s">
        <v>3</v>
      </c>
      <c r="E2" s="21" t="s">
        <v>4</v>
      </c>
      <c r="F2" s="22" t="s">
        <v>5</v>
      </c>
      <c r="G2" s="21" t="s">
        <v>6</v>
      </c>
      <c r="H2" s="23" t="s">
        <v>7</v>
      </c>
      <c r="I2" s="24" t="s">
        <v>8</v>
      </c>
      <c r="J2" s="21" t="s">
        <v>9</v>
      </c>
      <c r="K2" s="25" t="s">
        <v>10</v>
      </c>
      <c r="L2" s="21" t="s">
        <v>11</v>
      </c>
      <c r="M2" s="26" t="s">
        <v>12</v>
      </c>
      <c r="N2" s="24" t="s">
        <v>13</v>
      </c>
      <c r="O2" s="27" t="s">
        <v>14</v>
      </c>
      <c r="P2" s="21" t="s">
        <v>15</v>
      </c>
      <c r="Q2" s="25" t="s">
        <v>16</v>
      </c>
      <c r="R2" s="25" t="s">
        <v>17</v>
      </c>
      <c r="S2" s="25" t="s">
        <v>18</v>
      </c>
      <c r="T2" s="28" t="s">
        <v>19</v>
      </c>
      <c r="U2" s="28" t="s">
        <v>20</v>
      </c>
      <c r="V2" s="25" t="s">
        <v>21</v>
      </c>
      <c r="W2" s="29" t="s">
        <v>22</v>
      </c>
      <c r="X2" s="30" t="s">
        <v>23</v>
      </c>
      <c r="Y2" s="21" t="s">
        <v>24</v>
      </c>
      <c r="Z2" s="21" t="s">
        <v>25</v>
      </c>
      <c r="AA2" s="21" t="s">
        <v>26</v>
      </c>
      <c r="AB2" s="21" t="s">
        <v>27</v>
      </c>
    </row>
    <row r="3" customFormat="false" ht="17.15" hidden="false" customHeight="false" outlineLevel="0" collapsed="false">
      <c r="A3" s="5" t="n">
        <v>11</v>
      </c>
      <c r="B3" s="9" t="s">
        <v>104</v>
      </c>
      <c r="C3" s="5" t="s">
        <v>105</v>
      </c>
      <c r="D3" s="5" t="s">
        <v>30</v>
      </c>
      <c r="E3" s="5" t="s">
        <v>53</v>
      </c>
      <c r="F3" s="6" t="n">
        <v>915.09</v>
      </c>
      <c r="G3" s="5" t="n">
        <v>28.5</v>
      </c>
      <c r="H3" s="8" t="n">
        <f aca="false">F3*G3/100</f>
        <v>260.80065</v>
      </c>
      <c r="I3" s="5" t="n">
        <v>27.45</v>
      </c>
      <c r="J3" s="9" t="s">
        <v>106</v>
      </c>
      <c r="K3" s="10" t="n">
        <f aca="false">G3/I3-1</f>
        <v>0.0382513661202186</v>
      </c>
      <c r="L3" s="3" t="n">
        <f aca="false">SUM(季資料!C12:F12)</f>
        <v>1.6</v>
      </c>
      <c r="M3" s="12" t="n">
        <f aca="false">G3/L3</f>
        <v>17.8125</v>
      </c>
      <c r="N3" s="5" t="n">
        <v>1.42</v>
      </c>
      <c r="O3" s="13" t="n">
        <v>0.047</v>
      </c>
      <c r="P3" s="9" t="s">
        <v>33</v>
      </c>
      <c r="Q3" s="14" t="n">
        <v>0.0866546232912888</v>
      </c>
      <c r="R3" s="14" t="n">
        <v>0.0757332455562611</v>
      </c>
      <c r="S3" s="10" t="n">
        <f aca="false">SUM(季資料!C12:D12)/SUM(季資料!G12:H12)-1</f>
        <v>0.538461538461539</v>
      </c>
      <c r="T3" s="15" t="n">
        <f aca="false">SUM(季資料!I12:L12)/100000</f>
        <v>27.52165</v>
      </c>
      <c r="U3" s="15" t="n">
        <f aca="false">SUM(季資料!M12:P12)/100000</f>
        <v>-1.86833</v>
      </c>
      <c r="V3" s="14" t="n">
        <v>0.400823545074292</v>
      </c>
      <c r="W3" s="14" t="n">
        <v>0.0798702137579887</v>
      </c>
      <c r="X3" s="16" t="n">
        <v>777</v>
      </c>
      <c r="Y3" s="5" t="n">
        <v>58.3</v>
      </c>
      <c r="Z3" s="5"/>
      <c r="AA3" s="5"/>
      <c r="AB3" s="5"/>
    </row>
    <row r="4" customFormat="false" ht="17.15" hidden="false" customHeight="false" outlineLevel="0" collapsed="false">
      <c r="A4" s="5" t="n">
        <v>12</v>
      </c>
      <c r="B4" s="9" t="s">
        <v>107</v>
      </c>
      <c r="C4" s="5" t="s">
        <v>108</v>
      </c>
      <c r="D4" s="5" t="s">
        <v>30</v>
      </c>
      <c r="E4" s="5" t="s">
        <v>67</v>
      </c>
      <c r="F4" s="6" t="n">
        <v>987.48</v>
      </c>
      <c r="G4" s="5" t="n">
        <v>69.8</v>
      </c>
      <c r="H4" s="8" t="n">
        <f aca="false">F4*G4/100</f>
        <v>689.26104</v>
      </c>
      <c r="I4" s="5" t="n">
        <v>66.1</v>
      </c>
      <c r="J4" s="9" t="s">
        <v>109</v>
      </c>
      <c r="K4" s="10" t="n">
        <f aca="false">G4/I4-1</f>
        <v>0.0559757942511348</v>
      </c>
      <c r="L4" s="3" t="n">
        <f aca="false">SUM(季資料!C13:F13)</f>
        <v>4.92</v>
      </c>
      <c r="M4" s="12" t="n">
        <f aca="false">G4/L4</f>
        <v>14.1869918699187</v>
      </c>
      <c r="N4" s="5" t="n">
        <v>2.91</v>
      </c>
      <c r="O4" s="13" t="n">
        <v>0.0587</v>
      </c>
      <c r="P4" s="9" t="s">
        <v>33</v>
      </c>
      <c r="Q4" s="14" t="n">
        <v>-0.0476057677577868</v>
      </c>
      <c r="R4" s="14" t="n">
        <v>-0.0313490681491157</v>
      </c>
      <c r="S4" s="10" t="n">
        <f aca="false">SUM(季資料!C13:D13)/SUM(季資料!G13:H13)-1</f>
        <v>-0.0952380952380952</v>
      </c>
      <c r="T4" s="15" t="n">
        <f aca="false">SUM(季資料!I13:L13)/100000</f>
        <v>74.16166</v>
      </c>
      <c r="U4" s="15" t="n">
        <f aca="false">SUM(季資料!M13:P13)/100000</f>
        <v>54.60594</v>
      </c>
      <c r="V4" s="14" t="n">
        <v>0.510821649277932</v>
      </c>
      <c r="W4" s="14" t="n">
        <v>0.142727612955619</v>
      </c>
      <c r="X4" s="16" t="n">
        <v>1215</v>
      </c>
      <c r="Y4" s="5" t="n">
        <v>58.3</v>
      </c>
      <c r="Z4" s="5"/>
      <c r="AA4" s="5"/>
      <c r="AB4" s="5"/>
    </row>
    <row r="5" customFormat="false" ht="17.15" hidden="false" customHeight="false" outlineLevel="0" collapsed="false">
      <c r="A5" s="5" t="n">
        <v>13</v>
      </c>
      <c r="B5" s="9" t="s">
        <v>110</v>
      </c>
      <c r="C5" s="5" t="s">
        <v>111</v>
      </c>
      <c r="D5" s="5" t="s">
        <v>30</v>
      </c>
      <c r="E5" s="5" t="s">
        <v>53</v>
      </c>
      <c r="F5" s="6" t="n">
        <v>1831.88</v>
      </c>
      <c r="G5" s="5" t="n">
        <v>41.05</v>
      </c>
      <c r="H5" s="8" t="n">
        <f aca="false">F5*G5/100</f>
        <v>751.98674</v>
      </c>
      <c r="I5" s="5" t="n">
        <v>38</v>
      </c>
      <c r="J5" s="9" t="s">
        <v>112</v>
      </c>
      <c r="K5" s="10" t="n">
        <f aca="false">G5/I5-1</f>
        <v>0.0802631578947368</v>
      </c>
      <c r="L5" s="3" t="n">
        <f aca="false">SUM(季資料!C14:F14)</f>
        <v>2.48</v>
      </c>
      <c r="M5" s="12" t="n">
        <f aca="false">G5/L5</f>
        <v>16.5524193548387</v>
      </c>
      <c r="N5" s="5" t="n">
        <v>1.17</v>
      </c>
      <c r="O5" s="13" t="n">
        <v>0.0487</v>
      </c>
      <c r="P5" s="9" t="s">
        <v>33</v>
      </c>
      <c r="Q5" s="14" t="n">
        <v>0.0213097809855045</v>
      </c>
      <c r="R5" s="14" t="n">
        <v>-0.0490844496501847</v>
      </c>
      <c r="S5" s="10" t="n">
        <f aca="false">SUM(季資料!C14:D14)/SUM(季資料!G14:H14)-1</f>
        <v>-0.0909090909090908</v>
      </c>
      <c r="T5" s="15" t="n">
        <f aca="false">SUM(季資料!I14:L14)/100000</f>
        <v>65.49555</v>
      </c>
      <c r="U5" s="15" t="n">
        <f aca="false">SUM(季資料!M14:P14)/100000</f>
        <v>48.55954</v>
      </c>
      <c r="V5" s="14" t="n">
        <v>0.200877363630565</v>
      </c>
      <c r="W5" s="14" t="n">
        <v>0.0689769675494515</v>
      </c>
      <c r="X5" s="16" t="n">
        <v>2410</v>
      </c>
      <c r="Y5" s="5" t="n">
        <v>56.8</v>
      </c>
      <c r="Z5" s="5"/>
      <c r="AA5" s="5"/>
      <c r="AB5" s="5"/>
    </row>
    <row r="7" customFormat="false" ht="17.15" hidden="false" customHeight="false" outlineLevel="0" collapsed="false">
      <c r="A7" s="20" t="s">
        <v>113</v>
      </c>
    </row>
    <row r="8" customFormat="false" ht="15" hidden="false" customHeight="false" outlineLevel="0" collapsed="false">
      <c r="A8" s="31" t="s">
        <v>1</v>
      </c>
      <c r="B8" s="31" t="s">
        <v>2</v>
      </c>
      <c r="C8" s="31" t="s">
        <v>114</v>
      </c>
    </row>
    <row r="9" customFormat="false" ht="17.15" hidden="false" customHeight="false" outlineLevel="0" collapsed="false">
      <c r="A9" s="0" t="s">
        <v>115</v>
      </c>
      <c r="B9" s="31" t="s">
        <v>116</v>
      </c>
      <c r="C9" s="31" t="s">
        <v>117</v>
      </c>
    </row>
    <row r="10" customFormat="false" ht="17.15" hidden="false" customHeight="false" outlineLevel="0" collapsed="false">
      <c r="A10" s="0" t="s">
        <v>118</v>
      </c>
      <c r="B10" s="31" t="s">
        <v>119</v>
      </c>
      <c r="C10" s="31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31" t="s">
        <v>1</v>
      </c>
      <c r="B1" s="31" t="s">
        <v>2</v>
      </c>
      <c r="C1" s="0" t="s">
        <v>121</v>
      </c>
      <c r="D1" s="0" t="s">
        <v>122</v>
      </c>
      <c r="E1" s="0" t="s">
        <v>123</v>
      </c>
      <c r="F1" s="0" t="s">
        <v>124</v>
      </c>
      <c r="G1" s="0" t="s">
        <v>125</v>
      </c>
      <c r="H1" s="0" t="s">
        <v>126</v>
      </c>
      <c r="I1" s="31" t="s">
        <v>127</v>
      </c>
      <c r="J1" s="31" t="s">
        <v>128</v>
      </c>
      <c r="K1" s="31" t="s">
        <v>129</v>
      </c>
      <c r="L1" s="31" t="s">
        <v>130</v>
      </c>
      <c r="M1" s="31" t="s">
        <v>131</v>
      </c>
      <c r="N1" s="31" t="s">
        <v>132</v>
      </c>
      <c r="O1" s="31" t="s">
        <v>133</v>
      </c>
      <c r="P1" s="31" t="s">
        <v>134</v>
      </c>
      <c r="Q1" s="31" t="s">
        <v>135</v>
      </c>
      <c r="R1" s="31" t="s">
        <v>136</v>
      </c>
    </row>
    <row r="2" customFormat="false" ht="17.15" hidden="false" customHeight="false" outlineLevel="0" collapsed="false">
      <c r="A2" s="32" t="s">
        <v>28</v>
      </c>
      <c r="B2" s="33" t="s">
        <v>29</v>
      </c>
      <c r="C2" s="33" t="n">
        <v>2.02</v>
      </c>
      <c r="D2" s="33" t="n">
        <v>1.18</v>
      </c>
      <c r="E2" s="33" t="n">
        <v>1.54</v>
      </c>
      <c r="F2" s="33" t="n">
        <v>1.47</v>
      </c>
      <c r="G2" s="33" t="n">
        <v>1.28</v>
      </c>
      <c r="H2" s="33" t="n">
        <v>1.15</v>
      </c>
      <c r="I2" s="34" t="n">
        <v>946011</v>
      </c>
      <c r="J2" s="34" t="n">
        <v>-188264</v>
      </c>
      <c r="K2" s="34" t="n">
        <v>784711</v>
      </c>
      <c r="L2" s="34" t="n">
        <v>207917</v>
      </c>
      <c r="M2" s="34" t="n">
        <v>534528</v>
      </c>
      <c r="N2" s="34" t="n">
        <v>72581</v>
      </c>
      <c r="O2" s="34" t="n">
        <v>262200</v>
      </c>
      <c r="P2" s="34" t="n">
        <v>500022</v>
      </c>
      <c r="Q2" s="32" t="s">
        <v>137</v>
      </c>
      <c r="R2" s="32" t="s">
        <v>138</v>
      </c>
    </row>
    <row r="3" customFormat="false" ht="17.15" hidden="false" customHeight="false" outlineLevel="0" collapsed="false">
      <c r="A3" s="32" t="s">
        <v>37</v>
      </c>
      <c r="B3" s="33" t="s">
        <v>38</v>
      </c>
      <c r="C3" s="33" t="n">
        <v>0.49</v>
      </c>
      <c r="D3" s="33" t="n">
        <v>0.97</v>
      </c>
      <c r="E3" s="33" t="n">
        <v>0.84</v>
      </c>
      <c r="F3" s="33" t="n">
        <v>1.05</v>
      </c>
      <c r="G3" s="33" t="n">
        <v>-0.12</v>
      </c>
      <c r="H3" s="33" t="n">
        <v>1.08</v>
      </c>
      <c r="I3" s="34" t="n">
        <v>-200898</v>
      </c>
      <c r="J3" s="34" t="n">
        <v>51391</v>
      </c>
      <c r="K3" s="34" t="n">
        <v>609135</v>
      </c>
      <c r="L3" s="34" t="n">
        <v>380610</v>
      </c>
      <c r="M3" s="34" t="n">
        <v>-767190</v>
      </c>
      <c r="N3" s="34" t="n">
        <v>508692</v>
      </c>
      <c r="O3" s="34" t="n">
        <v>403028</v>
      </c>
      <c r="P3" s="34" t="n">
        <v>-136733</v>
      </c>
      <c r="Q3" s="32" t="s">
        <v>137</v>
      </c>
      <c r="R3" s="32" t="s">
        <v>139</v>
      </c>
    </row>
    <row r="4" customFormat="false" ht="17.15" hidden="false" customHeight="false" outlineLevel="0" collapsed="false">
      <c r="A4" s="32" t="s">
        <v>44</v>
      </c>
      <c r="B4" s="33" t="s">
        <v>45</v>
      </c>
      <c r="C4" s="33" t="n">
        <v>0.77</v>
      </c>
      <c r="D4" s="33" t="n">
        <v>0.7</v>
      </c>
      <c r="E4" s="33" t="n">
        <v>0.85</v>
      </c>
      <c r="F4" s="33" t="n">
        <v>0.87</v>
      </c>
      <c r="G4" s="33" t="n">
        <v>0.87</v>
      </c>
      <c r="H4" s="33" t="n">
        <v>0.71</v>
      </c>
      <c r="I4" s="34" t="n">
        <v>494248</v>
      </c>
      <c r="J4" s="34" t="n">
        <v>1361104</v>
      </c>
      <c r="K4" s="34" t="n">
        <v>1864337</v>
      </c>
      <c r="L4" s="34" t="n">
        <v>1430476</v>
      </c>
      <c r="M4" s="34" t="n">
        <v>-481998</v>
      </c>
      <c r="N4" s="34" t="n">
        <v>-20527</v>
      </c>
      <c r="O4" s="34" t="n">
        <v>644691</v>
      </c>
      <c r="P4" s="34" t="n">
        <v>635673</v>
      </c>
      <c r="Q4" s="32" t="s">
        <v>137</v>
      </c>
      <c r="R4" s="32" t="s">
        <v>140</v>
      </c>
    </row>
    <row r="5" customFormat="false" ht="17.15" hidden="false" customHeight="false" outlineLevel="0" collapsed="false">
      <c r="A5" s="32" t="s">
        <v>51</v>
      </c>
      <c r="B5" s="33" t="s">
        <v>52</v>
      </c>
      <c r="C5" s="33" t="n">
        <v>0.53</v>
      </c>
      <c r="D5" s="33" t="n">
        <v>0.94</v>
      </c>
      <c r="E5" s="33" t="n">
        <v>1.66</v>
      </c>
      <c r="F5" s="33" t="n">
        <v>0.93</v>
      </c>
      <c r="G5" s="33" t="n">
        <v>0.68</v>
      </c>
      <c r="H5" s="33" t="n">
        <v>1.05</v>
      </c>
      <c r="I5" s="34" t="n">
        <v>678445</v>
      </c>
      <c r="J5" s="34" t="n">
        <v>2047783</v>
      </c>
      <c r="K5" s="34" t="n">
        <v>1530386</v>
      </c>
      <c r="L5" s="34" t="n">
        <v>2210689</v>
      </c>
      <c r="M5" s="34" t="n">
        <v>-143911</v>
      </c>
      <c r="N5" s="34" t="n">
        <v>-986303</v>
      </c>
      <c r="O5" s="34" t="n">
        <v>-289745</v>
      </c>
      <c r="P5" s="34" t="n">
        <v>802468</v>
      </c>
      <c r="Q5" s="32" t="s">
        <v>137</v>
      </c>
      <c r="R5" s="32" t="s">
        <v>141</v>
      </c>
    </row>
    <row r="6" customFormat="false" ht="17.15" hidden="false" customHeight="false" outlineLevel="0" collapsed="false">
      <c r="A6" s="32" t="s">
        <v>58</v>
      </c>
      <c r="B6" s="33" t="s">
        <v>59</v>
      </c>
      <c r="C6" s="33" t="n">
        <v>1.45</v>
      </c>
      <c r="D6" s="33" t="n">
        <v>2.63</v>
      </c>
      <c r="E6" s="33" t="n">
        <v>1.77</v>
      </c>
      <c r="F6" s="33" t="n">
        <v>1.17</v>
      </c>
      <c r="G6" s="33" t="n">
        <v>2.19</v>
      </c>
      <c r="H6" s="33" t="n">
        <v>1.41</v>
      </c>
      <c r="I6" s="34" t="n">
        <v>1322543</v>
      </c>
      <c r="J6" s="34" t="n">
        <v>576564</v>
      </c>
      <c r="K6" s="34" t="n">
        <v>844920</v>
      </c>
      <c r="L6" s="34" t="n">
        <v>1172422</v>
      </c>
      <c r="M6" s="34" t="n">
        <v>-8043257</v>
      </c>
      <c r="N6" s="34" t="n">
        <v>-1576311</v>
      </c>
      <c r="O6" s="34" t="n">
        <v>1910924</v>
      </c>
      <c r="P6" s="34" t="n">
        <v>163662</v>
      </c>
      <c r="Q6" s="32" t="s">
        <v>137</v>
      </c>
      <c r="R6" s="32" t="s">
        <v>142</v>
      </c>
    </row>
    <row r="7" customFormat="false" ht="17.15" hidden="false" customHeight="false" outlineLevel="0" collapsed="false">
      <c r="A7" s="32" t="s">
        <v>65</v>
      </c>
      <c r="B7" s="33" t="s">
        <v>66</v>
      </c>
      <c r="C7" s="33" t="n">
        <v>1.61</v>
      </c>
      <c r="D7" s="33" t="n">
        <v>0.76</v>
      </c>
      <c r="E7" s="33" t="n">
        <v>1.06</v>
      </c>
      <c r="F7" s="33" t="n">
        <v>1.28</v>
      </c>
      <c r="G7" s="33" t="n">
        <v>0.53</v>
      </c>
      <c r="H7" s="33" t="n">
        <v>1.22</v>
      </c>
      <c r="I7" s="34" t="n">
        <v>-4393182</v>
      </c>
      <c r="J7" s="34" t="n">
        <v>4441191</v>
      </c>
      <c r="K7" s="34" t="n">
        <v>2368920</v>
      </c>
      <c r="L7" s="34" t="n">
        <v>11992466</v>
      </c>
      <c r="M7" s="34" t="n">
        <v>-11422860</v>
      </c>
      <c r="N7" s="34" t="n">
        <v>-1772485</v>
      </c>
      <c r="O7" s="34" t="n">
        <v>-1797333</v>
      </c>
      <c r="P7" s="34" t="n">
        <v>13278510</v>
      </c>
      <c r="Q7" s="32" t="s">
        <v>143</v>
      </c>
      <c r="R7" s="32" t="s">
        <v>144</v>
      </c>
    </row>
    <row r="8" customFormat="false" ht="17.15" hidden="false" customHeight="false" outlineLevel="0" collapsed="false">
      <c r="A8" s="32" t="s">
        <v>72</v>
      </c>
      <c r="B8" s="33" t="s">
        <v>73</v>
      </c>
      <c r="C8" s="33" t="n">
        <v>0.24</v>
      </c>
      <c r="D8" s="33" t="n">
        <v>0.19</v>
      </c>
      <c r="E8" s="33" t="n">
        <v>-0.16</v>
      </c>
      <c r="F8" s="33" t="n">
        <v>0.57</v>
      </c>
      <c r="G8" s="33" t="n">
        <v>0.44</v>
      </c>
      <c r="H8" s="33" t="n">
        <v>0.1</v>
      </c>
      <c r="I8" s="34" t="n">
        <v>70973</v>
      </c>
      <c r="J8" s="34" t="n">
        <v>226122</v>
      </c>
      <c r="K8" s="34" t="n">
        <v>1236237</v>
      </c>
      <c r="L8" s="34" t="n">
        <v>300662</v>
      </c>
      <c r="M8" s="34" t="n">
        <v>-443915</v>
      </c>
      <c r="N8" s="34" t="n">
        <v>-310531</v>
      </c>
      <c r="O8" s="34" t="n">
        <v>174366</v>
      </c>
      <c r="P8" s="34" t="n">
        <v>271106</v>
      </c>
      <c r="Q8" s="32" t="s">
        <v>137</v>
      </c>
      <c r="R8" s="32" t="s">
        <v>145</v>
      </c>
    </row>
    <row r="9" customFormat="false" ht="17.15" hidden="false" customHeight="false" outlineLevel="0" collapsed="false">
      <c r="A9" s="32" t="s">
        <v>79</v>
      </c>
      <c r="B9" s="33" t="s">
        <v>80</v>
      </c>
      <c r="C9" s="33" t="n">
        <v>4.61</v>
      </c>
      <c r="D9" s="33" t="n">
        <v>4.28</v>
      </c>
      <c r="E9" s="33" t="n">
        <v>5.29</v>
      </c>
      <c r="F9" s="33" t="n">
        <v>6.1</v>
      </c>
      <c r="G9" s="33" t="n">
        <v>3.41</v>
      </c>
      <c r="H9" s="33" t="n">
        <v>6.71</v>
      </c>
      <c r="I9" s="34" t="n">
        <v>-209372</v>
      </c>
      <c r="J9" s="34" t="n">
        <v>110652</v>
      </c>
      <c r="K9" s="34" t="n">
        <v>1188739</v>
      </c>
      <c r="L9" s="34" t="n">
        <v>648163</v>
      </c>
      <c r="M9" s="34" t="n">
        <v>-131413</v>
      </c>
      <c r="N9" s="34" t="n">
        <v>-569785</v>
      </c>
      <c r="O9" s="34" t="n">
        <v>648961</v>
      </c>
      <c r="P9" s="34" t="n">
        <v>633843</v>
      </c>
      <c r="Q9" s="32" t="s">
        <v>137</v>
      </c>
      <c r="R9" s="32" t="s">
        <v>146</v>
      </c>
    </row>
    <row r="10" customFormat="false" ht="17.15" hidden="false" customHeight="false" outlineLevel="0" collapsed="false">
      <c r="A10" s="32" t="s">
        <v>86</v>
      </c>
      <c r="B10" s="33" t="s">
        <v>87</v>
      </c>
      <c r="C10" s="33" t="n">
        <v>0.5</v>
      </c>
      <c r="D10" s="33" t="n">
        <v>1.03</v>
      </c>
      <c r="E10" s="33" t="n">
        <v>1.6</v>
      </c>
      <c r="F10" s="33" t="n">
        <v>2.33</v>
      </c>
      <c r="G10" s="33" t="n">
        <v>0.01</v>
      </c>
      <c r="H10" s="33" t="n">
        <v>1.42</v>
      </c>
      <c r="I10" s="34" t="n">
        <v>-1280201</v>
      </c>
      <c r="J10" s="34" t="n">
        <v>1431612</v>
      </c>
      <c r="K10" s="34" t="n">
        <v>44342</v>
      </c>
      <c r="L10" s="34" t="n">
        <v>26951</v>
      </c>
      <c r="M10" s="34" t="n">
        <v>-891462</v>
      </c>
      <c r="N10" s="34" t="n">
        <v>1087771</v>
      </c>
      <c r="O10" s="34" t="n">
        <v>-358448</v>
      </c>
      <c r="P10" s="34" t="n">
        <v>-17070</v>
      </c>
      <c r="Q10" s="32" t="s">
        <v>137</v>
      </c>
      <c r="R10" s="32" t="s">
        <v>147</v>
      </c>
    </row>
    <row r="11" customFormat="false" ht="17.15" hidden="false" customHeight="false" outlineLevel="0" collapsed="false">
      <c r="A11" s="32" t="s">
        <v>93</v>
      </c>
      <c r="B11" s="33" t="s">
        <v>94</v>
      </c>
      <c r="C11" s="33" t="n">
        <v>0.44</v>
      </c>
      <c r="D11" s="33" t="n">
        <v>0.38</v>
      </c>
      <c r="E11" s="33" t="n">
        <v>0.38</v>
      </c>
      <c r="F11" s="33" t="n">
        <v>0.41</v>
      </c>
      <c r="G11" s="33" t="n">
        <v>0.44</v>
      </c>
      <c r="H11" s="33" t="n">
        <v>0.48</v>
      </c>
      <c r="I11" s="34" t="n">
        <v>-78205</v>
      </c>
      <c r="J11" s="34" t="n">
        <v>269514</v>
      </c>
      <c r="K11" s="34" t="n">
        <v>185723</v>
      </c>
      <c r="L11" s="34" t="n">
        <v>7021</v>
      </c>
      <c r="M11" s="34" t="n">
        <v>-720203</v>
      </c>
      <c r="N11" s="34" t="n">
        <v>-149117</v>
      </c>
      <c r="O11" s="34" t="n">
        <v>1044356</v>
      </c>
      <c r="P11" s="34" t="n">
        <v>-909414</v>
      </c>
      <c r="Q11" s="32" t="s">
        <v>137</v>
      </c>
      <c r="R11" s="32" t="s">
        <v>148</v>
      </c>
    </row>
    <row r="12" customFormat="false" ht="17.15" hidden="false" customHeight="false" outlineLevel="0" collapsed="false">
      <c r="A12" s="32" t="s">
        <v>104</v>
      </c>
      <c r="B12" s="33" t="s">
        <v>105</v>
      </c>
      <c r="C12" s="33" t="n">
        <v>0.28</v>
      </c>
      <c r="D12" s="33" t="n">
        <v>0.52</v>
      </c>
      <c r="E12" s="33" t="n">
        <v>0.39</v>
      </c>
      <c r="F12" s="33" t="n">
        <v>0.41</v>
      </c>
      <c r="G12" s="33" t="n">
        <v>0.13</v>
      </c>
      <c r="H12" s="33" t="n">
        <v>0.39</v>
      </c>
      <c r="I12" s="34" t="n">
        <v>-235795</v>
      </c>
      <c r="J12" s="34" t="n">
        <v>416505</v>
      </c>
      <c r="K12" s="34" t="n">
        <v>1120212</v>
      </c>
      <c r="L12" s="34" t="n">
        <v>1451243</v>
      </c>
      <c r="M12" s="34" t="n">
        <v>-2613351</v>
      </c>
      <c r="N12" s="34" t="n">
        <v>28378</v>
      </c>
      <c r="O12" s="34" t="n">
        <v>422811</v>
      </c>
      <c r="P12" s="34" t="n">
        <v>1975329</v>
      </c>
      <c r="Q12" s="32" t="s">
        <v>137</v>
      </c>
      <c r="R12" s="32" t="s">
        <v>149</v>
      </c>
    </row>
    <row r="13" customFormat="false" ht="17.15" hidden="false" customHeight="false" outlineLevel="0" collapsed="false">
      <c r="A13" s="32" t="s">
        <v>107</v>
      </c>
      <c r="B13" s="33" t="s">
        <v>108</v>
      </c>
      <c r="C13" s="33" t="n">
        <v>1.03</v>
      </c>
      <c r="D13" s="33" t="n">
        <v>0.68</v>
      </c>
      <c r="E13" s="33" t="n">
        <v>1.45</v>
      </c>
      <c r="F13" s="33" t="n">
        <v>1.76</v>
      </c>
      <c r="G13" s="33" t="n">
        <v>0.73</v>
      </c>
      <c r="H13" s="33" t="n">
        <v>1.16</v>
      </c>
      <c r="I13" s="34" t="n">
        <v>1421786</v>
      </c>
      <c r="J13" s="34" t="n">
        <v>-286708</v>
      </c>
      <c r="K13" s="34" t="n">
        <v>1910131</v>
      </c>
      <c r="L13" s="34" t="n">
        <v>4370957</v>
      </c>
      <c r="M13" s="34" t="n">
        <v>837368</v>
      </c>
      <c r="N13" s="34" t="n">
        <v>-666515</v>
      </c>
      <c r="O13" s="34" t="n">
        <v>1337975</v>
      </c>
      <c r="P13" s="34" t="n">
        <v>3951766</v>
      </c>
      <c r="Q13" s="32" t="s">
        <v>137</v>
      </c>
      <c r="R13" s="32" t="s">
        <v>150</v>
      </c>
    </row>
    <row r="14" customFormat="false" ht="17.15" hidden="false" customHeight="false" outlineLevel="0" collapsed="false">
      <c r="A14" s="32" t="s">
        <v>110</v>
      </c>
      <c r="B14" s="33" t="s">
        <v>111</v>
      </c>
      <c r="C14" s="33" t="n">
        <v>0.65</v>
      </c>
      <c r="D14" s="33" t="n">
        <v>0.55</v>
      </c>
      <c r="E14" s="33" t="n">
        <v>0.57</v>
      </c>
      <c r="F14" s="33" t="n">
        <v>0.71</v>
      </c>
      <c r="G14" s="33" t="n">
        <v>0.77</v>
      </c>
      <c r="H14" s="33" t="n">
        <v>0.55</v>
      </c>
      <c r="I14" s="34" t="n">
        <v>443783</v>
      </c>
      <c r="J14" s="34" t="n">
        <v>844179</v>
      </c>
      <c r="K14" s="34" t="n">
        <v>1581286</v>
      </c>
      <c r="L14" s="34" t="n">
        <v>3680307</v>
      </c>
      <c r="M14" s="34" t="n">
        <v>138796</v>
      </c>
      <c r="N14" s="34" t="n">
        <v>177872</v>
      </c>
      <c r="O14" s="34" t="n">
        <v>1143303</v>
      </c>
      <c r="P14" s="34" t="n">
        <v>3395983</v>
      </c>
      <c r="Q14" s="32" t="s">
        <v>137</v>
      </c>
      <c r="R14" s="32" t="s">
        <v>151</v>
      </c>
    </row>
    <row r="15" customFormat="false" ht="17.15" hidden="false" customHeight="false" outlineLevel="0" collapsed="false">
      <c r="A15" s="32" t="s">
        <v>115</v>
      </c>
      <c r="B15" s="33" t="s">
        <v>116</v>
      </c>
      <c r="C15" s="33" t="n">
        <v>0.49</v>
      </c>
      <c r="D15" s="33" t="n">
        <v>0.87</v>
      </c>
      <c r="E15" s="33" t="n">
        <v>0.73</v>
      </c>
      <c r="F15" s="33" t="n">
        <v>1.16</v>
      </c>
      <c r="G15" s="33" t="n">
        <v>0.67</v>
      </c>
      <c r="H15" s="33" t="n">
        <v>1.54</v>
      </c>
      <c r="I15" s="34" t="n">
        <v>475869</v>
      </c>
      <c r="J15" s="34" t="n">
        <v>11374</v>
      </c>
      <c r="K15" s="34" t="n">
        <v>828480</v>
      </c>
      <c r="L15" s="34" t="n">
        <v>194739</v>
      </c>
      <c r="M15" s="34" t="n">
        <v>-565940</v>
      </c>
      <c r="N15" s="34" t="n">
        <v>-428566</v>
      </c>
      <c r="O15" s="34" t="n">
        <v>410165</v>
      </c>
      <c r="P15" s="34" t="n">
        <v>-284263</v>
      </c>
      <c r="Q15" s="32" t="s">
        <v>137</v>
      </c>
      <c r="R15" s="32" t="s">
        <v>152</v>
      </c>
    </row>
    <row r="16" customFormat="false" ht="17.15" hidden="false" customHeight="false" outlineLevel="0" collapsed="false">
      <c r="A16" s="32" t="s">
        <v>118</v>
      </c>
      <c r="B16" s="33" t="s">
        <v>153</v>
      </c>
      <c r="C16" s="33" t="n">
        <v>0.16</v>
      </c>
      <c r="D16" s="33" t="n">
        <v>0.13</v>
      </c>
      <c r="E16" s="33" t="n">
        <v>0.19</v>
      </c>
      <c r="F16" s="33" t="n">
        <v>1.06</v>
      </c>
      <c r="G16" s="33" t="n">
        <v>0.65</v>
      </c>
      <c r="H16" s="33" t="n">
        <v>1.75</v>
      </c>
      <c r="I16" s="34" t="n">
        <v>25437</v>
      </c>
      <c r="J16" s="34" t="n">
        <v>79485</v>
      </c>
      <c r="K16" s="34" t="n">
        <v>123048</v>
      </c>
      <c r="L16" s="34" t="n">
        <v>34630</v>
      </c>
      <c r="M16" s="34" t="n">
        <v>-93282</v>
      </c>
      <c r="N16" s="34" t="n">
        <v>3084590</v>
      </c>
      <c r="O16" s="34" t="n">
        <v>-1502793</v>
      </c>
      <c r="P16" s="34" t="n">
        <v>-1366660</v>
      </c>
      <c r="Q16" s="32" t="s">
        <v>137</v>
      </c>
      <c r="R16" s="32" t="s">
        <v>154</v>
      </c>
    </row>
    <row r="18" customFormat="false" ht="17.15" hidden="false" customHeight="false" outlineLevel="0" collapsed="false">
      <c r="A18" s="19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0"/>
    <col collapsed="false" customWidth="true" hidden="false" outlineLevel="0" max="3" min="3" style="0" width="22"/>
  </cols>
  <sheetData>
    <row r="1" customFormat="false" ht="41.75" hidden="false" customHeight="false" outlineLevel="0" collapsed="false">
      <c r="A1" s="35" t="s">
        <v>156</v>
      </c>
      <c r="B1" s="36"/>
      <c r="C1" s="36"/>
    </row>
    <row r="2" customFormat="false" ht="17.15" hidden="false" customHeight="false" outlineLevel="0" collapsed="false">
      <c r="A2" s="37" t="s">
        <v>157</v>
      </c>
      <c r="B2" s="36" t="s">
        <v>158</v>
      </c>
      <c r="C2" s="36"/>
    </row>
    <row r="3" customFormat="false" ht="15" hidden="false" customHeight="false" outlineLevel="0" collapsed="false">
      <c r="A3" s="36"/>
      <c r="B3" s="36"/>
      <c r="C3" s="36"/>
    </row>
    <row r="4" customFormat="false" ht="17.15" hidden="false" customHeight="false" outlineLevel="0" collapsed="false">
      <c r="A4" s="38" t="s">
        <v>159</v>
      </c>
      <c r="B4" s="38" t="s">
        <v>160</v>
      </c>
      <c r="C4" s="38" t="s">
        <v>161</v>
      </c>
    </row>
    <row r="5" customFormat="false" ht="17.15" hidden="false" customHeight="false" outlineLevel="0" collapsed="false">
      <c r="A5" s="37" t="s">
        <v>162</v>
      </c>
      <c r="B5" s="36" t="s">
        <v>163</v>
      </c>
      <c r="C5" s="36" t="n">
        <v>37</v>
      </c>
    </row>
    <row r="6" customFormat="false" ht="17.15" hidden="false" customHeight="false" outlineLevel="0" collapsed="false">
      <c r="A6" s="37" t="s">
        <v>164</v>
      </c>
      <c r="B6" s="36" t="s">
        <v>165</v>
      </c>
      <c r="C6" s="36" t="n">
        <v>1261</v>
      </c>
    </row>
    <row r="7" customFormat="false" ht="17.15" hidden="false" customHeight="false" outlineLevel="0" collapsed="false">
      <c r="A7" s="37" t="s">
        <v>166</v>
      </c>
      <c r="B7" s="37" t="s">
        <v>167</v>
      </c>
      <c r="C7" s="36" t="n">
        <v>6</v>
      </c>
    </row>
    <row r="8" customFormat="false" ht="17.15" hidden="false" customHeight="false" outlineLevel="0" collapsed="false">
      <c r="A8" s="37" t="s">
        <v>168</v>
      </c>
      <c r="B8" s="36" t="s">
        <v>169</v>
      </c>
      <c r="C8" s="36" t="n">
        <v>9</v>
      </c>
    </row>
    <row r="9" customFormat="false" ht="17.15" hidden="false" customHeight="false" outlineLevel="0" collapsed="false">
      <c r="A9" s="37" t="s">
        <v>170</v>
      </c>
      <c r="B9" s="36" t="s">
        <v>171</v>
      </c>
      <c r="C9" s="36" t="n">
        <v>506</v>
      </c>
    </row>
    <row r="10" customFormat="false" ht="17.15" hidden="false" customHeight="false" outlineLevel="0" collapsed="false">
      <c r="A10" s="37" t="s">
        <v>172</v>
      </c>
      <c r="B10" s="37" t="s">
        <v>173</v>
      </c>
      <c r="C10" s="36" t="n">
        <v>80</v>
      </c>
    </row>
    <row r="11" customFormat="false" ht="17.15" hidden="false" customHeight="false" outlineLevel="0" collapsed="false">
      <c r="A11" s="37" t="s">
        <v>174</v>
      </c>
      <c r="B11" s="36" t="s">
        <v>175</v>
      </c>
      <c r="C11" s="36" t="n">
        <v>6</v>
      </c>
    </row>
    <row r="12" customFormat="false" ht="17.15" hidden="false" customHeight="false" outlineLevel="0" collapsed="false">
      <c r="A12" s="37" t="s">
        <v>176</v>
      </c>
      <c r="B12" s="36" t="s">
        <v>177</v>
      </c>
      <c r="C12" s="36" t="n">
        <v>24</v>
      </c>
    </row>
    <row r="13" customFormat="false" ht="17.15" hidden="false" customHeight="false" outlineLevel="0" collapsed="false">
      <c r="A13" s="37" t="s">
        <v>178</v>
      </c>
      <c r="B13" s="37" t="s">
        <v>179</v>
      </c>
      <c r="C13" s="36" t="n">
        <v>6</v>
      </c>
    </row>
    <row r="14" customFormat="false" ht="17.15" hidden="false" customHeight="false" outlineLevel="0" collapsed="false">
      <c r="A14" s="37" t="s">
        <v>180</v>
      </c>
      <c r="B14" s="36" t="s">
        <v>181</v>
      </c>
      <c r="C14" s="36" t="n">
        <v>2</v>
      </c>
    </row>
    <row r="15" customFormat="false" ht="17.15" hidden="false" customHeight="false" outlineLevel="0" collapsed="false">
      <c r="A15" s="37" t="s">
        <v>182</v>
      </c>
      <c r="B15" s="36" t="s">
        <v>183</v>
      </c>
      <c r="C15" s="36" t="n">
        <v>12</v>
      </c>
    </row>
    <row r="16" customFormat="false" ht="17.15" hidden="false" customHeight="false" outlineLevel="0" collapsed="false">
      <c r="A16" s="37" t="s">
        <v>184</v>
      </c>
      <c r="B16" s="37" t="s">
        <v>185</v>
      </c>
      <c r="C16" s="36" t="n">
        <v>0</v>
      </c>
    </row>
    <row r="17" customFormat="false" ht="17.15" hidden="false" customHeight="false" outlineLevel="0" collapsed="false">
      <c r="A17" s="37" t="s">
        <v>186</v>
      </c>
      <c r="B17" s="36"/>
      <c r="C17" s="36" t="s">
        <v>187</v>
      </c>
    </row>
    <row r="18" customFormat="false" ht="17.15" hidden="false" customHeight="false" outlineLevel="0" collapsed="false">
      <c r="A18" s="37" t="s">
        <v>188</v>
      </c>
      <c r="B18" s="36" t="s">
        <v>189</v>
      </c>
      <c r="C18" s="36" t="s">
        <v>190</v>
      </c>
    </row>
    <row r="19" customFormat="false" ht="32.8" hidden="false" customHeight="false" outlineLevel="0" collapsed="false">
      <c r="A19" s="37" t="s">
        <v>191</v>
      </c>
      <c r="B19" s="36" t="s">
        <v>192</v>
      </c>
      <c r="C19" s="36" t="s">
        <v>193</v>
      </c>
    </row>
    <row r="20" customFormat="false" ht="17.15" hidden="false" customHeight="false" outlineLevel="0" collapsed="false">
      <c r="A20" s="37" t="s">
        <v>194</v>
      </c>
      <c r="B20" s="37" t="s">
        <v>195</v>
      </c>
      <c r="C20" s="37" t="s">
        <v>196</v>
      </c>
    </row>
    <row r="21" customFormat="false" ht="15" hidden="false" customHeight="false" outlineLevel="0" collapsed="false">
      <c r="A21" s="36"/>
      <c r="B21" s="36"/>
      <c r="C21" s="36"/>
    </row>
    <row r="22" customFormat="false" ht="17.15" hidden="false" customHeight="false" outlineLevel="0" collapsed="false">
      <c r="A22" s="38" t="s">
        <v>197</v>
      </c>
      <c r="B22" s="38"/>
      <c r="C22" s="38"/>
    </row>
    <row r="23" customFormat="false" ht="26.85" hidden="false" customHeight="false" outlineLevel="0" collapsed="false">
      <c r="A23" s="37" t="s">
        <v>198</v>
      </c>
      <c r="B23" s="36" t="s">
        <v>199</v>
      </c>
      <c r="C23" s="36"/>
    </row>
    <row r="24" customFormat="false" ht="17.15" hidden="false" customHeight="false" outlineLevel="0" collapsed="false">
      <c r="A24" s="37" t="s">
        <v>200</v>
      </c>
      <c r="B24" s="36" t="s">
        <v>201</v>
      </c>
      <c r="C24" s="36"/>
    </row>
    <row r="25" customFormat="false" ht="17.15" hidden="false" customHeight="false" outlineLevel="0" collapsed="false">
      <c r="A25" s="37" t="s">
        <v>202</v>
      </c>
      <c r="B25" s="36" t="s">
        <v>203</v>
      </c>
      <c r="C25" s="36"/>
    </row>
    <row r="26" customFormat="false" ht="17.15" hidden="false" customHeight="false" outlineLevel="0" collapsed="false">
      <c r="A26" s="37" t="s">
        <v>204</v>
      </c>
      <c r="B26" s="36" t="s">
        <v>205</v>
      </c>
      <c r="C26" s="36"/>
    </row>
    <row r="27" customFormat="false" ht="17.15" hidden="false" customHeight="false" outlineLevel="0" collapsed="false">
      <c r="A27" s="37" t="s">
        <v>206</v>
      </c>
      <c r="B27" s="36" t="s">
        <v>207</v>
      </c>
      <c r="C27" s="36"/>
    </row>
    <row r="28" customFormat="false" ht="29.85" hidden="false" customHeight="false" outlineLevel="0" collapsed="false">
      <c r="A28" s="37" t="s">
        <v>208</v>
      </c>
      <c r="B28" s="36" t="s">
        <v>209</v>
      </c>
      <c r="C28" s="36"/>
    </row>
    <row r="29" customFormat="false" ht="17.15" hidden="false" customHeight="false" outlineLevel="0" collapsed="false">
      <c r="A29" s="37" t="s">
        <v>210</v>
      </c>
      <c r="B29" s="36" t="s">
        <v>211</v>
      </c>
      <c r="C29" s="36"/>
    </row>
    <row r="30" customFormat="false" ht="29.85" hidden="false" customHeight="false" outlineLevel="0" collapsed="false">
      <c r="A30" s="37" t="s">
        <v>212</v>
      </c>
      <c r="B30" s="36" t="s">
        <v>213</v>
      </c>
      <c r="C30" s="36"/>
    </row>
    <row r="31" customFormat="false" ht="26.85" hidden="false" customHeight="false" outlineLevel="0" collapsed="false">
      <c r="A31" s="37" t="s">
        <v>214</v>
      </c>
      <c r="B31" s="36" t="s">
        <v>215</v>
      </c>
      <c r="C31" s="36"/>
    </row>
    <row r="32" customFormat="false" ht="29.85" hidden="false" customHeight="false" outlineLevel="0" collapsed="false">
      <c r="A32" s="37" t="s">
        <v>216</v>
      </c>
      <c r="B32" s="36" t="s">
        <v>217</v>
      </c>
      <c r="C32" s="36"/>
    </row>
    <row r="33" customFormat="false" ht="32.8" hidden="false" customHeight="false" outlineLevel="0" collapsed="false">
      <c r="A33" s="37" t="s">
        <v>218</v>
      </c>
      <c r="B33" s="36" t="s">
        <v>219</v>
      </c>
      <c r="C33" s="36"/>
    </row>
    <row r="34" customFormat="false" ht="17.15" hidden="false" customHeight="false" outlineLevel="0" collapsed="false">
      <c r="A34" s="37" t="s">
        <v>220</v>
      </c>
      <c r="B34" s="36" t="s">
        <v>221</v>
      </c>
      <c r="C34" s="36"/>
    </row>
    <row r="35" customFormat="false" ht="32.8" hidden="false" customHeight="false" outlineLevel="0" collapsed="false">
      <c r="A35" s="37" t="s">
        <v>222</v>
      </c>
      <c r="B35" s="36" t="s">
        <v>223</v>
      </c>
      <c r="C35" s="36"/>
    </row>
    <row r="36" customFormat="false" ht="15" hidden="false" customHeight="false" outlineLevel="0" collapsed="false">
      <c r="A36" s="36"/>
      <c r="B36" s="36"/>
      <c r="C36" s="36"/>
    </row>
    <row r="37" customFormat="false" ht="17.15" hidden="false" customHeight="false" outlineLevel="0" collapsed="false">
      <c r="A37" s="38" t="s">
        <v>224</v>
      </c>
      <c r="B37" s="38"/>
      <c r="C37" s="38"/>
    </row>
    <row r="38" customFormat="false" ht="32.8" hidden="false" customHeight="false" outlineLevel="0" collapsed="false">
      <c r="A38" s="36" t="s">
        <v>225</v>
      </c>
      <c r="B38" s="37" t="s">
        <v>226</v>
      </c>
      <c r="C38" s="36"/>
    </row>
    <row r="39" customFormat="false" ht="17.15" hidden="false" customHeight="false" outlineLevel="0" collapsed="false">
      <c r="A39" s="36" t="s">
        <v>227</v>
      </c>
      <c r="B39" s="37" t="s">
        <v>228</v>
      </c>
      <c r="C39" s="36"/>
    </row>
    <row r="40" customFormat="false" ht="17.15" hidden="false" customHeight="false" outlineLevel="0" collapsed="false">
      <c r="A40" s="36" t="s">
        <v>229</v>
      </c>
      <c r="B40" s="37" t="s">
        <v>230</v>
      </c>
      <c r="C40" s="36"/>
    </row>
    <row r="41" customFormat="false" ht="17.15" hidden="false" customHeight="false" outlineLevel="0" collapsed="false">
      <c r="A41" s="36" t="s">
        <v>231</v>
      </c>
      <c r="B41" s="36" t="s">
        <v>232</v>
      </c>
      <c r="C41" s="36"/>
    </row>
    <row r="42" customFormat="false" ht="17.15" hidden="false" customHeight="false" outlineLevel="0" collapsed="false">
      <c r="A42" s="36" t="s">
        <v>233</v>
      </c>
      <c r="B42" s="37" t="s">
        <v>234</v>
      </c>
      <c r="C42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2026-10-19T04:08:06Z</dcterms:created>
  <dc:creator>openpyxl</dc:creator>
  <dc:description/>
  <dc:language>en-US</dc:language>
  <cp:lastModifiedBy/>
  <dcterms:modified xsi:type="dcterms:W3CDTF">2026-10-19T04:08:06Z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