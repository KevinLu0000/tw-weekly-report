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動量股Top10" sheetId="1" state="visible" r:id="rId3"/>
    <sheet name="營收與EPS" sheetId="2" state="visible" r:id="rId4"/>
    <sheet name="第11-30名" sheetId="3" state="visible" r:id="rId5"/>
    <sheet name="篩選規則與來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1" authorId="0">
      <text>
        <r>
          <rPr>
            <sz val="10"/>
            <rFont val="Noto Sans CJK SC"/>
            <family val="2"/>
          </rPr>
          <t xml:space="preserve">外資＋投信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Noto Sans CJK SC"/>
            <family val="2"/>
          </rPr>
          <t xml:space="preserve">日合計買超股數 </t>
        </r>
        <r>
          <rPr>
            <sz val="10"/>
            <rFont val="Arial"/>
            <family val="2"/>
          </rPr>
          <t xml:space="preserve">÷ 5 </t>
        </r>
        <r>
          <rPr>
            <sz val="10"/>
            <rFont val="Noto Sans CJK SC"/>
            <family val="2"/>
          </rPr>
          <t xml:space="preserve">日總成交股數；≥ </t>
        </r>
        <r>
          <rPr>
            <sz val="10"/>
            <rFont val="Arial"/>
            <family val="2"/>
          </rPr>
          <t xml:space="preserve">20% </t>
        </r>
        <r>
          <rPr>
            <sz val="10"/>
            <rFont val="Noto Sans CJK SC"/>
            <family val="2"/>
          </rPr>
          <t xml:space="preserve">標示「法人強力買超」並加 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 xml:space="preserve">分</t>
        </r>
      </text>
    </comment>
    <comment ref="AA1" authorId="0">
      <text>
        <r>
          <rPr>
            <sz val="10"/>
            <rFont val="Noto Sans CJK SC"/>
            <family val="2"/>
          </rPr>
          <t xml:space="preserve">基本分＝</t>
        </r>
        <r>
          <rPr>
            <sz val="10"/>
            <rFont val="Arial"/>
            <family val="2"/>
          </rPr>
          <t xml:space="preserve">(1</t>
        </r>
        <r>
          <rPr>
            <sz val="10"/>
            <rFont val="Noto Sans CJK SC"/>
            <family val="2"/>
          </rPr>
          <t xml:space="preserve">週報酬−大盤</t>
        </r>
        <r>
          <rPr>
            <sz val="10"/>
            <rFont val="Arial"/>
            <family val="2"/>
          </rPr>
          <t xml:space="preserve">)×0.2</t>
        </r>
        <r>
          <rPr>
            <sz val="10"/>
            <rFont val="Noto Sans CJK SC"/>
            <family val="2"/>
          </rPr>
          <t xml:space="preserve">＋</t>
        </r>
        <r>
          <rPr>
            <sz val="10"/>
            <rFont val="Arial"/>
            <family val="2"/>
          </rPr>
          <t xml:space="preserve">(1</t>
        </r>
        <r>
          <rPr>
            <sz val="10"/>
            <rFont val="Noto Sans CJK SC"/>
            <family val="2"/>
          </rPr>
          <t xml:space="preserve">月報酬−大盤</t>
        </r>
        <r>
          <rPr>
            <sz val="10"/>
            <rFont val="Arial"/>
            <family val="2"/>
          </rPr>
          <t xml:space="preserve">)×0.3</t>
        </r>
        <r>
          <rPr>
            <sz val="10"/>
            <rFont val="Noto Sans CJK SC"/>
            <family val="2"/>
          </rPr>
          <t xml:space="preserve">＋</t>
        </r>
        <r>
          <rPr>
            <sz val="10"/>
            <rFont val="Arial"/>
            <family val="2"/>
          </rPr>
          <t xml:space="preserve">(3</t>
        </r>
        <r>
          <rPr>
            <sz val="10"/>
            <rFont val="Noto Sans CJK SC"/>
            <family val="2"/>
          </rPr>
          <t xml:space="preserve">月報酬−大盤</t>
        </r>
        <r>
          <rPr>
            <sz val="10"/>
            <rFont val="Arial"/>
            <family val="2"/>
          </rPr>
          <t xml:space="preserve">)×0.5</t>
        </r>
        <r>
          <rPr>
            <sz val="10"/>
            <rFont val="Noto Sans CJK SC"/>
            <family val="2"/>
          </rPr>
          <t xml:space="preserve">，單位百分點；大盤＝加權指數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週 </t>
        </r>
        <r>
          <rPr>
            <sz val="10"/>
            <rFont val="Arial"/>
            <family val="2"/>
          </rPr>
          <t xml:space="preserve">-4.47%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月 </t>
        </r>
        <r>
          <rPr>
            <sz val="10"/>
            <rFont val="Arial"/>
            <family val="2"/>
          </rPr>
          <t xml:space="preserve">+2.01%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月 </t>
        </r>
        <r>
          <rPr>
            <sz val="10"/>
            <rFont val="Arial"/>
            <family val="2"/>
          </rPr>
          <t xml:space="preserve">+5.30%</t>
        </r>
      </text>
    </comment>
  </commentList>
</comments>
</file>

<file path=xl/sharedStrings.xml><?xml version="1.0" encoding="utf-8"?>
<sst xmlns="http://schemas.openxmlformats.org/spreadsheetml/2006/main" count="318" uniqueCount="234">
  <si>
    <t xml:space="preserve">排名</t>
  </si>
  <si>
    <t xml:space="preserve">代號</t>
  </si>
  <si>
    <t xml:space="preserve">公司</t>
  </si>
  <si>
    <t xml:space="preserve">市場</t>
  </si>
  <si>
    <t xml:space="preserve">產業</t>
  </si>
  <si>
    <t xml:space="preserve">分類</t>
  </si>
  <si>
    <t xml:space="preserve">標示</t>
  </si>
  <si>
    <t xml:space="preserve">收盤價</t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</si>
  <si>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週報酬</t>
    </r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</si>
  <si>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月報酬</t>
    </r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</si>
  <si>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月報酬</t>
    </r>
  </si>
  <si>
    <r>
      <rPr>
        <b val="true"/>
        <sz val="11"/>
        <color rgb="FFFFFFFF"/>
        <rFont val="Arial"/>
        <family val="0"/>
        <charset val="1"/>
      </rPr>
      <t xml:space="preserve">52</t>
    </r>
    <r>
      <rPr>
        <b val="true"/>
        <sz val="11"/>
        <color rgb="FFFFFFFF"/>
        <rFont val="Noto Sans CJK SC"/>
        <family val="2"/>
      </rPr>
      <t xml:space="preserve">週高點</t>
    </r>
  </si>
  <si>
    <r>
      <rPr>
        <b val="true"/>
        <sz val="11"/>
        <color rgb="FFFFFFFF"/>
        <rFont val="Noto Sans CJK SC"/>
        <family val="2"/>
      </rPr>
      <t xml:space="preserve">距</t>
    </r>
    <r>
      <rPr>
        <b val="true"/>
        <sz val="11"/>
        <color rgb="FFFFFFFF"/>
        <rFont val="Arial"/>
        <family val="0"/>
        <charset val="1"/>
      </rPr>
      <t xml:space="preserve">52</t>
    </r>
    <r>
      <rPr>
        <b val="true"/>
        <sz val="11"/>
        <color rgb="FFFFFFFF"/>
        <rFont val="Noto Sans CJK SC"/>
        <family val="2"/>
      </rPr>
      <t xml:space="preserve">週高點</t>
    </r>
  </si>
  <si>
    <r>
      <rPr>
        <b val="true"/>
        <sz val="11"/>
        <color rgb="FFFFFFFF"/>
        <rFont val="Arial"/>
        <family val="0"/>
        <charset val="1"/>
      </rPr>
      <t xml:space="preserve">22</t>
    </r>
    <r>
      <rPr>
        <b val="true"/>
        <sz val="11"/>
        <color rgb="FFFFFFFF"/>
        <rFont val="Noto Sans CJK SC"/>
        <family val="2"/>
      </rPr>
      <t xml:space="preserve">日均線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警戒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</si>
  <si>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距</t>
    </r>
    <r>
      <rPr>
        <b val="true"/>
        <sz val="11"/>
        <color rgb="FFFFFFFF"/>
        <rFont val="Arial"/>
        <family val="0"/>
        <charset val="1"/>
      </rPr>
      <t xml:space="preserve">22</t>
    </r>
    <r>
      <rPr>
        <b val="true"/>
        <sz val="11"/>
        <color rgb="FFFFFFFF"/>
        <rFont val="Noto Sans CJK SC"/>
        <family val="2"/>
      </rPr>
      <t xml:space="preserve">日線</t>
    </r>
  </si>
  <si>
    <r>
      <rPr>
        <b val="true"/>
        <sz val="11"/>
        <color rgb="FFFFFFFF"/>
        <rFont val="Arial"/>
        <family val="0"/>
        <charset val="1"/>
      </rPr>
      <t xml:space="preserve">65</t>
    </r>
    <r>
      <rPr>
        <b val="true"/>
        <sz val="11"/>
        <color rgb="FFFFFFFF"/>
        <rFont val="Noto Sans CJK SC"/>
        <family val="2"/>
      </rPr>
      <t xml:space="preserve">日均線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失效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</si>
  <si>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距</t>
    </r>
    <r>
      <rPr>
        <b val="true"/>
        <sz val="11"/>
        <color rgb="FFFFFFFF"/>
        <rFont val="Arial"/>
        <family val="0"/>
        <charset val="1"/>
      </rPr>
      <t xml:space="preserve">65</t>
    </r>
    <r>
      <rPr>
        <b val="true"/>
        <sz val="11"/>
        <color rgb="FFFFFFFF"/>
        <rFont val="Noto Sans CJK SC"/>
        <family val="2"/>
      </rPr>
      <t xml:space="preserve">日線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</si>
  <si>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日均量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張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</si>
  <si>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Noto Sans CJK SC"/>
        <family val="2"/>
      </rPr>
      <t xml:space="preserve">日均量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張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</si>
  <si>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10/16</t>
    </r>
    <r>
      <rPr>
        <b val="true"/>
        <sz val="11"/>
        <color rgb="FFFFFFFF"/>
        <rFont val="Noto Sans CJK SC"/>
        <family val="2"/>
      </rPr>
      <t xml:space="preserve">量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張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</si>
  <si>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外資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張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</si>
  <si>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投信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張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</si>
  <si>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法人買超佔成交值</t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</si>
  <si>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月營收年增率</t>
    </r>
  </si>
  <si>
    <t xml:space="preserve">26Q2 EPS</t>
  </si>
  <si>
    <t xml:space="preserve">25Q2 EPS</t>
  </si>
  <si>
    <t xml:space="preserve">動量基本分</t>
  </si>
  <si>
    <t xml:space="preserve">加分</t>
  </si>
  <si>
    <t xml:space="preserve">總分</t>
  </si>
  <si>
    <t xml:space="preserve">均線與量價訊號（分析判斷）</t>
  </si>
  <si>
    <t xml:space="preserve">營收／獲利催化劑（分析判斷）</t>
  </si>
  <si>
    <t xml:space="preserve">支撐位與失效條件</t>
  </si>
  <si>
    <t xml:space="preserve">6505</t>
  </si>
  <si>
    <t xml:space="preserve">台塑化</t>
  </si>
  <si>
    <t xml:space="preserve">上市</t>
  </si>
  <si>
    <t xml:space="preserve">油電燃氣業</t>
  </si>
  <si>
    <t xml:space="preserve">基本面支持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</si>
  <si>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71,676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37,895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-5.0%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</si>
  <si>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32%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66%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26Q2 EPS 2.18 </t>
    </r>
    <r>
      <rPr>
        <sz val="11"/>
        <rFont val="Noto Sans CJK SC"/>
        <family val="2"/>
      </rPr>
      <t xml:space="preserve">元，去年同季虧損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</si>
  <si>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97.9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83.0 </t>
    </r>
    <r>
      <rPr>
        <sz val="11"/>
        <rFont val="Noto Sans CJK SC"/>
        <family val="2"/>
      </rPr>
      <t xml:space="preserve">元，出場或大幅降低部位</t>
    </r>
  </si>
  <si>
    <t xml:space="preserve">6278</t>
  </si>
  <si>
    <t xml:space="preserve">台表科</t>
  </si>
  <si>
    <t xml:space="preserve">光電業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</si>
  <si>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33,959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16,382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-5.1%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</si>
  <si>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11%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16%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26Q2 EPS </t>
    </r>
    <r>
      <rPr>
        <sz val="11"/>
        <rFont val="Noto Sans CJK SC"/>
        <family val="2"/>
      </rPr>
      <t xml:space="preserve">年增 </t>
    </r>
    <r>
      <rPr>
        <sz val="11"/>
        <rFont val="Arial"/>
        <family val="0"/>
        <charset val="1"/>
      </rPr>
      <t xml:space="preserve">68%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</si>
  <si>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227.5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192.1 </t>
    </r>
    <r>
      <rPr>
        <sz val="11"/>
        <rFont val="Noto Sans CJK SC"/>
        <family val="2"/>
      </rPr>
      <t xml:space="preserve">元，出場或大幅降低部位</t>
    </r>
  </si>
  <si>
    <t xml:space="preserve">3265</t>
  </si>
  <si>
    <t xml:space="preserve">台星科</t>
  </si>
  <si>
    <t xml:space="preserve">上櫃</t>
  </si>
  <si>
    <t xml:space="preserve">半導體業</t>
  </si>
  <si>
    <t xml:space="preserve">處置股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</si>
  <si>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7,118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3,521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-8.0%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</si>
  <si>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3%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11%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26Q2 EPS </t>
    </r>
    <r>
      <rPr>
        <sz val="11"/>
        <rFont val="Noto Sans CJK SC"/>
        <family val="2"/>
      </rPr>
      <t xml:space="preserve">年增 </t>
    </r>
    <r>
      <rPr>
        <sz val="11"/>
        <rFont val="Arial"/>
        <family val="0"/>
        <charset val="1"/>
      </rPr>
      <t xml:space="preserve">217%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</si>
  <si>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205.2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179.0 </t>
    </r>
    <r>
      <rPr>
        <sz val="11"/>
        <rFont val="Noto Sans CJK SC"/>
        <family val="2"/>
      </rPr>
      <t xml:space="preserve">元，出場或大幅降低部位</t>
    </r>
  </si>
  <si>
    <t xml:space="preserve">1569</t>
  </si>
  <si>
    <t xml:space="preserve">濱川</t>
  </si>
  <si>
    <t xml:space="preserve">電腦及週邊設備業</t>
  </si>
  <si>
    <t xml:space="preserve">注意股、仍虧損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</si>
  <si>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13,675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7,776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-8.6%</t>
    </r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</si>
  <si>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39%</t>
    </r>
    <r>
      <rPr>
        <sz val="11"/>
        <rFont val="Noto Sans CJK SC"/>
        <family val="2"/>
      </rPr>
      <t xml:space="preserve">，但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月年減；仍在虧損，</t>
    </r>
    <r>
      <rPr>
        <sz val="11"/>
        <rFont val="Arial"/>
        <family val="0"/>
        <charset val="1"/>
      </rPr>
      <t xml:space="preserve">26Q2 EPS -0.94 </t>
    </r>
    <r>
      <rPr>
        <sz val="11"/>
        <rFont val="Noto Sans CJK SC"/>
        <family val="2"/>
      </rPr>
      <t xml:space="preserve">元（虧損比去年縮小）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</si>
  <si>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65.7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51.4 </t>
    </r>
    <r>
      <rPr>
        <sz val="11"/>
        <rFont val="Noto Sans CJK SC"/>
        <family val="2"/>
      </rPr>
      <t xml:space="preserve">元，出場或大幅降低部位</t>
    </r>
  </si>
  <si>
    <t xml:space="preserve">7711</t>
  </si>
  <si>
    <t xml:space="preserve">永擎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</si>
  <si>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1,216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1,153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-15.1%</t>
    </r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</si>
  <si>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42%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26Q2 EPS 9.76 </t>
    </r>
    <r>
      <rPr>
        <sz val="11"/>
        <rFont val="Noto Sans CJK SC"/>
        <family val="2"/>
      </rPr>
      <t xml:space="preserve">元、年增 </t>
    </r>
    <r>
      <rPr>
        <sz val="11"/>
        <rFont val="Arial"/>
        <family val="0"/>
        <charset val="1"/>
      </rPr>
      <t xml:space="preserve">47%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winvest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</si>
  <si>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570.0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478.0 </t>
    </r>
    <r>
      <rPr>
        <sz val="11"/>
        <rFont val="Noto Sans CJK SC"/>
        <family val="2"/>
      </rPr>
      <t xml:space="preserve">元，出場或大幅降低部位</t>
    </r>
  </si>
  <si>
    <t xml:space="preserve">8039</t>
  </si>
  <si>
    <t xml:space="preserve">台虹</t>
  </si>
  <si>
    <t xml:space="preserve">電子零組件業</t>
  </si>
  <si>
    <t xml:space="preserve">題材／籌碼型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</si>
  <si>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36,729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25,866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-14.4%</t>
    </r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</si>
  <si>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月營收年減 </t>
    </r>
    <r>
      <rPr>
        <sz val="11"/>
        <rFont val="Arial"/>
        <family val="0"/>
        <charset val="1"/>
      </rPr>
      <t xml:space="preserve">19%</t>
    </r>
    <r>
      <rPr>
        <sz val="11"/>
        <rFont val="Noto Sans CJK SC"/>
        <family val="2"/>
      </rPr>
      <t xml:space="preserve">，近三月營收都年減；股價走勢與營收背離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</si>
  <si>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283.0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262.4 </t>
    </r>
    <r>
      <rPr>
        <sz val="11"/>
        <rFont val="Noto Sans CJK SC"/>
        <family val="2"/>
      </rPr>
      <t xml:space="preserve">元，出場或大幅降低部位</t>
    </r>
  </si>
  <si>
    <t xml:space="preserve">1815</t>
  </si>
  <si>
    <t xml:space="preserve">富喬</t>
  </si>
  <si>
    <t xml:space="preserve">最後一天放量上攻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</si>
  <si>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89,282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64,380 </t>
    </r>
    <r>
      <rPr>
        <sz val="11"/>
        <rFont val="Noto Sans CJK SC"/>
        <family val="2"/>
      </rPr>
      <t xml:space="preserve">張；</t>
    </r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放量收紅；距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-1.1%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</si>
  <si>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68%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82%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26Q2 EPS 1.45 </t>
    </r>
    <r>
      <rPr>
        <sz val="11"/>
        <rFont val="Noto Sans CJK SC"/>
        <family val="2"/>
      </rPr>
      <t xml:space="preserve">元，去年同季虧損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</si>
  <si>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123.6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106.4 </t>
    </r>
    <r>
      <rPr>
        <sz val="11"/>
        <rFont val="Noto Sans CJK SC"/>
        <family val="2"/>
      </rPr>
      <t xml:space="preserve">元，出場或大幅降低部位</t>
    </r>
  </si>
  <si>
    <t xml:space="preserve">6269</t>
  </si>
  <si>
    <t xml:space="preserve">台郡</t>
  </si>
  <si>
    <t xml:space="preserve">最後一天放量上攻、仍虧損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</si>
  <si>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12,984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5,336 </t>
    </r>
    <r>
      <rPr>
        <sz val="11"/>
        <rFont val="Noto Sans CJK SC"/>
        <family val="2"/>
      </rPr>
      <t xml:space="preserve">張；</t>
    </r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放量收紅；距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-10.7%</t>
    </r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</si>
  <si>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月營收年減 </t>
    </r>
    <r>
      <rPr>
        <sz val="11"/>
        <rFont val="Arial"/>
        <family val="0"/>
        <charset val="1"/>
      </rPr>
      <t xml:space="preserve">3%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26Q2 </t>
    </r>
    <r>
      <rPr>
        <sz val="11"/>
        <rFont val="Noto Sans CJK SC"/>
        <family val="2"/>
      </rPr>
      <t xml:space="preserve">仍虧損 </t>
    </r>
    <r>
      <rPr>
        <sz val="11"/>
        <rFont val="Arial"/>
        <family val="0"/>
        <charset val="1"/>
      </rPr>
      <t xml:space="preserve">1.68 </t>
    </r>
    <r>
      <rPr>
        <sz val="11"/>
        <rFont val="Noto Sans CJK SC"/>
        <family val="2"/>
      </rPr>
      <t xml:space="preserve">元，且虧損比去年擴大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</si>
  <si>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65.9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63.7 </t>
    </r>
    <r>
      <rPr>
        <sz val="11"/>
        <rFont val="Noto Sans CJK SC"/>
        <family val="2"/>
      </rPr>
      <t xml:space="preserve">元，出場或大幅降低部位</t>
    </r>
  </si>
  <si>
    <t xml:space="preserve">6715</t>
  </si>
  <si>
    <t xml:space="preserve">嘉基</t>
  </si>
  <si>
    <t xml:space="preserve">仍虧損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</si>
  <si>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3,107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2,624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-12.1%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</si>
  <si>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月營收大增，但 </t>
    </r>
    <r>
      <rPr>
        <sz val="11"/>
        <rFont val="Arial"/>
        <family val="0"/>
        <charset val="1"/>
      </rPr>
      <t xml:space="preserve">26Q2 </t>
    </r>
    <r>
      <rPr>
        <sz val="11"/>
        <rFont val="Noto Sans CJK SC"/>
        <family val="2"/>
      </rPr>
      <t xml:space="preserve">由盈轉虧（</t>
    </r>
    <r>
      <rPr>
        <sz val="11"/>
        <rFont val="Arial"/>
        <family val="0"/>
        <charset val="1"/>
      </rPr>
      <t xml:space="preserve">-0.12 </t>
    </r>
    <r>
      <rPr>
        <sz val="11"/>
        <rFont val="Noto Sans CJK SC"/>
        <family val="2"/>
      </rPr>
      <t xml:space="preserve">元）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</si>
  <si>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457.3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398.7 </t>
    </r>
    <r>
      <rPr>
        <sz val="11"/>
        <rFont val="Noto Sans CJK SC"/>
        <family val="2"/>
      </rPr>
      <t xml:space="preserve">元，出場或大幅降低部位</t>
    </r>
  </si>
  <si>
    <t xml:space="preserve">2603</t>
  </si>
  <si>
    <t xml:space="preserve">長榮</t>
  </si>
  <si>
    <t xml:space="preserve">航運業</t>
  </si>
  <si>
    <t xml:space="preserve">法人強力買超</t>
  </si>
  <si>
    <r>
      <rPr>
        <sz val="11"/>
        <rFont val="Noto Sans CJK SC"/>
        <family val="2"/>
      </rPr>
      <t xml:space="preserve">站上 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日線；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30,933 </t>
    </r>
    <r>
      <rPr>
        <sz val="11"/>
        <rFont val="Noto Sans CJK SC"/>
        <family val="2"/>
      </rPr>
      <t xml:space="preserve">張 </t>
    </r>
    <r>
      <rPr>
        <sz val="11"/>
        <rFont val="Arial"/>
        <family val="0"/>
        <charset val="1"/>
      </rPr>
      <t xml:space="preserve">&gt; 20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13,048 </t>
    </r>
    <r>
      <rPr>
        <sz val="11"/>
        <rFont val="Noto Sans CJK SC"/>
        <family val="2"/>
      </rPr>
      <t xml:space="preserve">張；距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Arial"/>
        <family val="0"/>
        <charset val="1"/>
      </rPr>
      <t xml:space="preserve">-1.8%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</si>
  <si>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43%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64%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26Q2 EPS </t>
    </r>
    <r>
      <rPr>
        <sz val="11"/>
        <rFont val="Noto Sans CJK SC"/>
        <family val="2"/>
      </rPr>
      <t xml:space="preserve">年增 </t>
    </r>
    <r>
      <rPr>
        <sz val="11"/>
        <rFont val="Arial"/>
        <family val="0"/>
        <charset val="1"/>
      </rPr>
      <t xml:space="preserve">46%</t>
    </r>
  </si>
  <si>
    <r>
      <rPr>
        <sz val="11"/>
        <rFont val="Noto Sans CJK SC"/>
        <family val="2"/>
      </rPr>
      <t xml:space="preserve">警戒：跌破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243.6 </t>
    </r>
    <r>
      <rPr>
        <sz val="11"/>
        <rFont val="Noto Sans CJK SC"/>
        <family val="2"/>
      </rPr>
      <t xml:space="preserve">元，減碼一部分；失效：跌破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日線 </t>
    </r>
    <r>
      <rPr>
        <sz val="11"/>
        <rFont val="Arial"/>
        <family val="0"/>
        <charset val="1"/>
      </rPr>
      <t xml:space="preserve">228.2 </t>
    </r>
    <r>
      <rPr>
        <sz val="11"/>
        <rFont val="Noto Sans CJK SC"/>
        <family val="2"/>
      </rPr>
      <t xml:space="preserve">元，出場或大幅降低部位</t>
    </r>
  </si>
  <si>
    <t xml:space="preserve">注意：近期強勢不代表未來報酬；題材／籌碼型為高波動動量，需嚴設停損。訊號與催化劑欄為根據數字的分析判斷，尚未查證新聞與法說內容。</t>
  </si>
  <si>
    <t xml:space="preserve">藍字＝來源數字；黑字＝公式。綠底＝基本面支持；橘底＝題材／籌碼型。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</si>
  <si>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月營收</t>
    </r>
  </si>
  <si>
    <r>
      <rPr>
        <sz val="11"/>
        <color theme="1"/>
        <rFont val="Noto Sans CJK SC"/>
        <family val="2"/>
      </rPr>
      <t xml:space="preserve">去年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</si>
  <si>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月營收</t>
    </r>
  </si>
  <si>
    <r>
      <rPr>
        <sz val="11"/>
        <color theme="1"/>
        <rFont val="Noto Sans CJK SC"/>
        <family val="2"/>
      </rPr>
      <t xml:space="preserve">去年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</si>
  <si>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月營收</t>
    </r>
  </si>
  <si>
    <r>
      <rPr>
        <sz val="11"/>
        <color theme="1"/>
        <rFont val="Noto Sans CJK SC"/>
        <family val="2"/>
      </rPr>
      <t xml:space="preserve">去年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</si>
  <si>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月營收年增率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</si>
  <si>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月營收年增率</t>
    </r>
  </si>
  <si>
    <t xml:space="preserve">26Q1 EPS</t>
  </si>
  <si>
    <t xml:space="preserve">25Q1 EPS</t>
  </si>
  <si>
    <t xml:space="preserve">備註</t>
  </si>
  <si>
    <r>
      <rPr>
        <sz val="11"/>
        <color rgb="FF0000FF"/>
        <rFont val="Arial"/>
        <family val="0"/>
        <charset val="1"/>
      </rPr>
      <t xml:space="preserve">8 </t>
    </r>
    <r>
      <rPr>
        <sz val="11"/>
        <color rgb="FF0000FF"/>
        <rFont val="Noto Sans CJK SC"/>
        <family val="2"/>
      </rPr>
      <t xml:space="preserve">月營收 </t>
    </r>
    <r>
      <rPr>
        <sz val="11"/>
        <color rgb="FF0000FF"/>
        <rFont val="Arial"/>
        <family val="0"/>
        <charset val="1"/>
      </rPr>
      <t xml:space="preserve">21.54 </t>
    </r>
    <r>
      <rPr>
        <sz val="11"/>
        <color rgb="FF0000FF"/>
        <rFont val="Noto Sans CJK SC"/>
        <family val="2"/>
      </rPr>
      <t xml:space="preserve">億、年增 </t>
    </r>
    <r>
      <rPr>
        <sz val="11"/>
        <color rgb="FF0000FF"/>
        <rFont val="Arial"/>
        <family val="0"/>
        <charset val="1"/>
      </rPr>
      <t xml:space="preserve">1.66% </t>
    </r>
    <r>
      <rPr>
        <sz val="11"/>
        <color rgb="FF0000FF"/>
        <rFont val="Noto Sans CJK SC"/>
        <family val="2"/>
      </rPr>
      <t xml:space="preserve">取自 </t>
    </r>
    <r>
      <rPr>
        <sz val="11"/>
        <color rgb="FF0000FF"/>
        <rFont val="Arial"/>
        <family val="0"/>
        <charset val="1"/>
      </rPr>
      <t xml:space="preserve">winvest </t>
    </r>
    <r>
      <rPr>
        <sz val="11"/>
        <color rgb="FF0000FF"/>
        <rFont val="Noto Sans CJK SC"/>
        <family val="2"/>
      </rPr>
      <t xml:space="preserve">營收快訊，去年同月由年增率反推；</t>
    </r>
    <r>
      <rPr>
        <sz val="11"/>
        <color rgb="FF0000FF"/>
        <rFont val="Arial"/>
        <family val="0"/>
        <charset val="1"/>
      </rPr>
      <t xml:space="preserve">25Q2 EPS </t>
    </r>
    <r>
      <rPr>
        <sz val="11"/>
        <color rgb="FF0000FF"/>
        <rFont val="Noto Sans CJK SC"/>
        <family val="2"/>
      </rPr>
      <t xml:space="preserve">由「</t>
    </r>
    <r>
      <rPr>
        <sz val="11"/>
        <color rgb="FF0000FF"/>
        <rFont val="Arial"/>
        <family val="0"/>
        <charset val="1"/>
      </rPr>
      <t xml:space="preserve">26Q2 EPS 9.76 </t>
    </r>
    <r>
      <rPr>
        <sz val="11"/>
        <color rgb="FF0000FF"/>
        <rFont val="Noto Sans CJK SC"/>
        <family val="2"/>
      </rPr>
      <t xml:space="preserve">元、年增 </t>
    </r>
    <r>
      <rPr>
        <sz val="11"/>
        <color rgb="FF0000FF"/>
        <rFont val="Arial"/>
        <family val="0"/>
        <charset val="1"/>
      </rPr>
      <t xml:space="preserve">47%</t>
    </r>
    <r>
      <rPr>
        <sz val="11"/>
        <color rgb="FF0000FF"/>
        <rFont val="Noto Sans CJK SC"/>
        <family val="2"/>
      </rPr>
      <t xml:space="preserve">」反推（同一來源）；</t>
    </r>
    <r>
      <rPr>
        <sz val="11"/>
        <color rgb="FF0000FF"/>
        <rFont val="Arial"/>
        <family val="0"/>
        <charset val="1"/>
      </rPr>
      <t xml:space="preserve">Yahoo </t>
    </r>
    <r>
      <rPr>
        <sz val="11"/>
        <color rgb="FF0000FF"/>
        <rFont val="Noto Sans CJK SC"/>
        <family val="2"/>
      </rPr>
      <t xml:space="preserve">只列 </t>
    </r>
    <r>
      <rPr>
        <sz val="11"/>
        <color rgb="FF0000FF"/>
        <rFont val="Arial"/>
        <family val="0"/>
        <charset val="1"/>
      </rPr>
      <t xml:space="preserve">2025Q3 </t>
    </r>
    <r>
      <rPr>
        <sz val="11"/>
        <color rgb="FF0000FF"/>
        <rFont val="Noto Sans CJK SC"/>
        <family val="2"/>
      </rPr>
      <t xml:space="preserve">以後</t>
    </r>
  </si>
  <si>
    <r>
      <rPr>
        <i val="true"/>
        <sz val="11"/>
        <rFont val="Noto Sans CJK SC"/>
        <family val="2"/>
      </rPr>
      <t xml:space="preserve">單位：營收為千元；</t>
    </r>
    <r>
      <rPr>
        <i val="true"/>
        <sz val="11"/>
        <rFont val="Arial"/>
        <family val="0"/>
        <charset val="1"/>
      </rPr>
      <t xml:space="preserve">EPS </t>
    </r>
    <r>
      <rPr>
        <i val="true"/>
        <sz val="11"/>
        <rFont val="Noto Sans CJK SC"/>
        <family val="2"/>
      </rPr>
      <t xml:space="preserve">為元（單季）。</t>
    </r>
    <r>
      <rPr>
        <i val="true"/>
        <sz val="11"/>
        <rFont val="Arial"/>
        <family val="0"/>
        <charset val="1"/>
      </rPr>
      <t xml:space="preserve">9 </t>
    </r>
    <r>
      <rPr>
        <i val="true"/>
        <sz val="11"/>
        <rFont val="Noto Sans CJK SC"/>
        <family val="2"/>
      </rPr>
      <t xml:space="preserve">月營收來自證交所／櫃買 </t>
    </r>
    <r>
      <rPr>
        <i val="true"/>
        <sz val="11"/>
        <rFont val="Arial"/>
        <family val="0"/>
        <charset val="1"/>
      </rPr>
      <t xml:space="preserve">OpenAPI </t>
    </r>
    <r>
      <rPr>
        <i val="true"/>
        <sz val="11"/>
        <rFont val="Noto Sans CJK SC"/>
        <family val="2"/>
      </rPr>
      <t xml:space="preserve">月營收彙總表，</t>
    </r>
    <r>
      <rPr>
        <i val="true"/>
        <sz val="11"/>
        <rFont val="Arial"/>
        <family val="0"/>
        <charset val="1"/>
      </rPr>
      <t xml:space="preserve">7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Arial"/>
        <family val="0"/>
        <charset val="1"/>
      </rPr>
      <t xml:space="preserve">8 </t>
    </r>
    <r>
      <rPr>
        <i val="true"/>
        <sz val="11"/>
        <rFont val="Noto Sans CJK SC"/>
        <family val="2"/>
      </rPr>
      <t xml:space="preserve">月來自 </t>
    </r>
    <r>
      <rPr>
        <i val="true"/>
        <sz val="11"/>
        <rFont val="Arial"/>
        <family val="0"/>
        <charset val="1"/>
      </rPr>
      <t xml:space="preserve">HiStock </t>
    </r>
    <r>
      <rPr>
        <i val="true"/>
        <sz val="11"/>
        <rFont val="Noto Sans CJK SC"/>
        <family val="2"/>
      </rPr>
      <t xml:space="preserve">每月營收頁，</t>
    </r>
    <r>
      <rPr>
        <i val="true"/>
        <sz val="11"/>
        <rFont val="Arial"/>
        <family val="0"/>
        <charset val="1"/>
      </rPr>
      <t xml:space="preserve">EPS </t>
    </r>
    <r>
      <rPr>
        <i val="true"/>
        <sz val="11"/>
        <rFont val="Noto Sans CJK SC"/>
        <family val="2"/>
      </rPr>
      <t xml:space="preserve">來自 </t>
    </r>
    <r>
      <rPr>
        <i val="true"/>
        <sz val="11"/>
        <rFont val="Arial"/>
        <family val="0"/>
        <charset val="1"/>
      </rPr>
      <t xml:space="preserve">Yahoo </t>
    </r>
    <r>
      <rPr>
        <i val="true"/>
        <sz val="11"/>
        <rFont val="Noto Sans CJK SC"/>
        <family val="2"/>
      </rPr>
      <t xml:space="preserve">股市 </t>
    </r>
    <r>
      <rPr>
        <i val="true"/>
        <sz val="11"/>
        <rFont val="Arial"/>
        <family val="0"/>
        <charset val="1"/>
      </rPr>
      <t xml:space="preserve">EPS </t>
    </r>
    <r>
      <rPr>
        <i val="true"/>
        <sz val="11"/>
        <rFont val="Noto Sans CJK SC"/>
        <family val="2"/>
      </rPr>
      <t xml:space="preserve">頁。</t>
    </r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</si>
  <si>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週</t>
    </r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</si>
  <si>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</si>
  <si>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</si>
  <si>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月營收年增率</t>
    </r>
  </si>
  <si>
    <t xml:space="preserve">2884</t>
  </si>
  <si>
    <t xml:space="preserve">玉山金</t>
  </si>
  <si>
    <t xml:space="preserve">金融保險業</t>
  </si>
  <si>
    <t xml:space="preserve">2615</t>
  </si>
  <si>
    <t xml:space="preserve">萬海</t>
  </si>
  <si>
    <t xml:space="preserve">2609</t>
  </si>
  <si>
    <t xml:space="preserve">陽明</t>
  </si>
  <si>
    <t xml:space="preserve">4927</t>
  </si>
  <si>
    <r>
      <rPr>
        <sz val="11"/>
        <color rgb="FF0000FF"/>
        <rFont val="Noto Sans CJK SC"/>
        <family val="2"/>
      </rPr>
      <t xml:space="preserve">泰鼎</t>
    </r>
    <r>
      <rPr>
        <sz val="11"/>
        <color rgb="FF0000FF"/>
        <rFont val="Arial"/>
        <family val="0"/>
        <charset val="1"/>
      </rPr>
      <t xml:space="preserve">-KY</t>
    </r>
  </si>
  <si>
    <t xml:space="preserve">2027</t>
  </si>
  <si>
    <t xml:space="preserve">大成鋼</t>
  </si>
  <si>
    <t xml:space="preserve">鋼鐵工業</t>
  </si>
  <si>
    <t xml:space="preserve">6209</t>
  </si>
  <si>
    <t xml:space="preserve">今國光</t>
  </si>
  <si>
    <t xml:space="preserve">2480</t>
  </si>
  <si>
    <t xml:space="preserve">敦陽科</t>
  </si>
  <si>
    <t xml:space="preserve">資訊服務業</t>
  </si>
  <si>
    <t xml:space="preserve">2851</t>
  </si>
  <si>
    <t xml:space="preserve">中再保</t>
  </si>
  <si>
    <t xml:space="preserve">4961</t>
  </si>
  <si>
    <t xml:space="preserve">天鈺</t>
  </si>
  <si>
    <t xml:space="preserve">法人強力買超、最後一天放量上攻</t>
  </si>
  <si>
    <t xml:space="preserve">5876</t>
  </si>
  <si>
    <t xml:space="preserve">上海商銀</t>
  </si>
  <si>
    <t xml:space="preserve">5309</t>
  </si>
  <si>
    <t xml:space="preserve">系統電</t>
  </si>
  <si>
    <t xml:space="preserve">2892</t>
  </si>
  <si>
    <t xml:space="preserve">第一金</t>
  </si>
  <si>
    <t xml:space="preserve">3034</t>
  </si>
  <si>
    <t xml:space="preserve">聯詠</t>
  </si>
  <si>
    <t xml:space="preserve">6187</t>
  </si>
  <si>
    <t xml:space="preserve">萬潤</t>
  </si>
  <si>
    <t xml:space="preserve">3167</t>
  </si>
  <si>
    <t xml:space="preserve">大量</t>
  </si>
  <si>
    <t xml:space="preserve">電機機械</t>
  </si>
  <si>
    <t xml:space="preserve">3044</t>
  </si>
  <si>
    <t xml:space="preserve">健鼎</t>
  </si>
  <si>
    <t xml:space="preserve">3147</t>
  </si>
  <si>
    <t xml:space="preserve">大綜</t>
  </si>
  <si>
    <t xml:space="preserve">4904</t>
  </si>
  <si>
    <t xml:space="preserve">遠傳</t>
  </si>
  <si>
    <t xml:space="preserve">通信網路業</t>
  </si>
  <si>
    <t xml:space="preserve">2377</t>
  </si>
  <si>
    <t xml:space="preserve">微星</t>
  </si>
  <si>
    <t xml:space="preserve">3045</t>
  </si>
  <si>
    <t xml:space="preserve">台灣大</t>
  </si>
  <si>
    <r>
      <rPr>
        <i val="true"/>
        <sz val="11"/>
        <rFont val="Noto Sans CJK SC"/>
        <family val="2"/>
      </rPr>
      <t xml:space="preserve">第 </t>
    </r>
    <r>
      <rPr>
        <i val="true"/>
        <sz val="11"/>
        <rFont val="Arial"/>
        <family val="0"/>
        <charset val="1"/>
      </rPr>
      <t xml:space="preserve">11 </t>
    </r>
    <r>
      <rPr>
        <i val="true"/>
        <sz val="11"/>
        <rFont val="Noto Sans CJK SC"/>
        <family val="2"/>
      </rPr>
      <t xml:space="preserve">名以後尚未逐檔查 </t>
    </r>
    <r>
      <rPr>
        <i val="true"/>
        <sz val="11"/>
        <rFont val="Arial"/>
        <family val="0"/>
        <charset val="1"/>
      </rPr>
      <t xml:space="preserve">7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Arial"/>
        <family val="0"/>
        <charset val="1"/>
      </rPr>
      <t xml:space="preserve">8 </t>
    </r>
    <r>
      <rPr>
        <i val="true"/>
        <sz val="11"/>
        <rFont val="Noto Sans CJK SC"/>
        <family val="2"/>
      </rPr>
      <t xml:space="preserve">月營收與單季 </t>
    </r>
    <r>
      <rPr>
        <i val="true"/>
        <sz val="11"/>
        <rFont val="Arial"/>
        <family val="0"/>
        <charset val="1"/>
      </rPr>
      <t xml:space="preserve">EPS</t>
    </r>
    <r>
      <rPr>
        <i val="true"/>
        <sz val="11"/>
        <rFont val="Noto Sans CJK SC"/>
        <family val="2"/>
      </rPr>
      <t xml:space="preserve">，所以還沒分類。</t>
    </r>
  </si>
  <si>
    <t xml:space="preserve">台股動量股初步名單：篩選規則、漏斗與資料來源</t>
  </si>
  <si>
    <t xml:space="preserve">資料截至</t>
  </si>
  <si>
    <r>
      <rPr>
        <sz val="11"/>
        <rFont val="Arial"/>
        <family val="0"/>
        <charset val="1"/>
      </rPr>
      <t xml:space="preserve">2026/10/16</t>
    </r>
    <r>
      <rPr>
        <sz val="11"/>
        <rFont val="Noto Sans CJK SC"/>
        <family val="2"/>
      </rPr>
      <t xml:space="preserve">（週五）收盤；法人資料 </t>
    </r>
    <r>
      <rPr>
        <sz val="11"/>
        <rFont val="Arial"/>
        <family val="0"/>
        <charset val="1"/>
      </rPr>
      <t xml:space="preserve">10/12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10/16</t>
    </r>
    <r>
      <rPr>
        <sz val="11"/>
        <rFont val="Noto Sans CJK SC"/>
        <family val="2"/>
      </rPr>
      <t xml:space="preserve">；處置／注意股名單為 </t>
    </r>
    <r>
      <rPr>
        <sz val="11"/>
        <rFont val="Arial"/>
        <family val="0"/>
        <charset val="1"/>
      </rPr>
      <t xml:space="preserve">10/19 </t>
    </r>
    <r>
      <rPr>
        <sz val="11"/>
        <rFont val="Noto Sans CJK SC"/>
        <family val="2"/>
      </rPr>
      <t xml:space="preserve">抓取的最新公告</t>
    </r>
  </si>
  <si>
    <t xml:space="preserve">加權指數報酬</t>
  </si>
  <si>
    <r>
      <rPr>
        <sz val="11"/>
        <rFont val="Noto Sans CJK SC"/>
        <family val="2"/>
      </rPr>
      <t xml:space="preserve">近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週 </t>
    </r>
    <r>
      <rPr>
        <sz val="11"/>
        <rFont val="Arial"/>
        <family val="0"/>
        <charset val="1"/>
      </rPr>
      <t xml:space="preserve">-4.47%</t>
    </r>
    <r>
      <rPr>
        <sz val="11"/>
        <rFont val="Noto Sans CJK SC"/>
        <family val="2"/>
      </rPr>
      <t xml:space="preserve">、近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月 </t>
    </r>
    <r>
      <rPr>
        <sz val="11"/>
        <rFont val="Arial"/>
        <family val="0"/>
        <charset val="1"/>
      </rPr>
      <t xml:space="preserve">+2.01%</t>
    </r>
    <r>
      <rPr>
        <sz val="11"/>
        <rFont val="Noto Sans CJK SC"/>
        <family val="2"/>
      </rPr>
      <t xml:space="preserve">、近 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月 </t>
    </r>
    <r>
      <rPr>
        <sz val="11"/>
        <rFont val="Arial"/>
        <family val="0"/>
        <charset val="1"/>
      </rPr>
      <t xml:space="preserve">+5.30%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週＝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日、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月＝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日、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月＝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個交易日）</t>
    </r>
  </si>
  <si>
    <t xml:space="preserve">篩選條件（依序檢查）</t>
  </si>
  <si>
    <t xml:space="preserve">門檻</t>
  </si>
  <si>
    <t xml:space="preserve">刷掉檔數</t>
  </si>
  <si>
    <r>
      <rPr>
        <sz val="11"/>
        <rFont val="Noto Sans CJK SC"/>
        <family val="2"/>
      </rPr>
      <t xml:space="preserve">上市櫃普通股、</t>
    </r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有成交、交易日足夠</t>
    </r>
  </si>
  <si>
    <t xml:space="preserve">52</t>
  </si>
  <si>
    <t xml:space="preserve">市值</t>
  </si>
  <si>
    <r>
      <rPr>
        <sz val="11"/>
        <rFont val="Arial"/>
        <family val="0"/>
        <charset val="1"/>
      </rPr>
      <t xml:space="preserve">≥ 100 </t>
    </r>
    <r>
      <rPr>
        <sz val="11"/>
        <rFont val="Noto Sans CJK SC"/>
        <family val="2"/>
      </rPr>
      <t xml:space="preserve">億元</t>
    </r>
  </si>
  <si>
    <t xml:space="preserve">1,255</t>
  </si>
  <si>
    <t xml:space="preserve">全額交割（變更交易）</t>
  </si>
  <si>
    <t xml:space="preserve">剔除（待確認）</t>
  </si>
  <si>
    <t xml:space="preserve">0</t>
  </si>
  <si>
    <t xml:space="preserve">流動性</t>
  </si>
  <si>
    <r>
      <rPr>
        <sz val="11"/>
        <rFont val="Noto Sans CJK SC"/>
        <family val="2"/>
      </rPr>
      <t xml:space="preserve">近 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日平均成交值 ≥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億元</t>
    </r>
  </si>
  <si>
    <t xml:space="preserve">240</t>
  </si>
  <si>
    <t xml:space="preserve">趨勢</t>
  </si>
  <si>
    <r>
      <rPr>
        <sz val="11"/>
        <rFont val="Noto Sans CJK SC"/>
        <family val="2"/>
      </rPr>
      <t xml:space="preserve">收盤價站上 </t>
    </r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日與 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日均線</t>
    </r>
  </si>
  <si>
    <t xml:space="preserve">232</t>
  </si>
  <si>
    <t xml:space="preserve">報酬</t>
  </si>
  <si>
    <r>
      <rPr>
        <sz val="11"/>
        <rFont val="Noto Sans CJK SC"/>
        <family val="2"/>
      </rPr>
      <t xml:space="preserve">近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月與近 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月報酬都高於加權指數</t>
    </r>
  </si>
  <si>
    <t xml:space="preserve">83</t>
  </si>
  <si>
    <t xml:space="preserve">量能</t>
  </si>
  <si>
    <r>
      <rPr>
        <sz val="11"/>
        <rFont val="Noto Sans CJK SC"/>
        <family val="2"/>
      </rPr>
      <t xml:space="preserve">近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＞ 近 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日均量</t>
    </r>
  </si>
  <si>
    <t xml:space="preserve">33</t>
  </si>
  <si>
    <t xml:space="preserve">法人</t>
  </si>
  <si>
    <r>
      <rPr>
        <sz val="11"/>
        <rFont val="Noto Sans CJK SC"/>
        <family val="2"/>
      </rPr>
      <t xml:space="preserve">外資或投信至少一方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日買超，且外資＋投信合計買超</t>
    </r>
  </si>
  <si>
    <t xml:space="preserve">15</t>
  </si>
  <si>
    <t xml:space="preserve">→ 通過</t>
  </si>
  <si>
    <r>
      <rPr>
        <sz val="11"/>
        <rFont val="Arial"/>
        <family val="0"/>
        <charset val="1"/>
      </rPr>
      <t xml:space="preserve">73 </t>
    </r>
    <r>
      <rPr>
        <sz val="11"/>
        <rFont val="Noto Sans CJK SC"/>
        <family val="2"/>
      </rPr>
      <t xml:space="preserve">檔</t>
    </r>
  </si>
  <si>
    <t xml:space="preserve">排名與標示</t>
  </si>
  <si>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週、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月、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月超額報酬 </t>
    </r>
    <r>
      <rPr>
        <sz val="11"/>
        <rFont val="Arial"/>
        <family val="0"/>
        <charset val="1"/>
      </rPr>
      <t xml:space="preserve">× 20%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30%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50%</t>
    </r>
  </si>
  <si>
    <r>
      <rPr>
        <sz val="11"/>
        <rFont val="Noto Sans CJK SC"/>
        <family val="2"/>
      </rPr>
      <t xml:space="preserve">法人買超佔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日成交值 ≥ </t>
    </r>
    <r>
      <rPr>
        <sz val="11"/>
        <rFont val="Arial"/>
        <family val="0"/>
        <charset val="1"/>
      </rPr>
      <t xml:space="preserve">20%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+10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量 ＞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1.5 </t>
    </r>
    <r>
      <rPr>
        <sz val="11"/>
        <rFont val="Noto Sans CJK SC"/>
        <family val="2"/>
      </rPr>
      <t xml:space="preserve">倍且收紅：</t>
    </r>
    <r>
      <rPr>
        <sz val="11"/>
        <rFont val="Arial"/>
        <family val="0"/>
        <charset val="1"/>
      </rPr>
      <t xml:space="preserve">+5</t>
    </r>
  </si>
  <si>
    <t xml:space="preserve">警訊標示</t>
  </si>
  <si>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量 ＞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日均量 </t>
    </r>
    <r>
      <rPr>
        <sz val="11"/>
        <rFont val="Arial"/>
        <family val="0"/>
        <charset val="1"/>
      </rPr>
      <t xml:space="preserve">1.5 </t>
    </r>
    <r>
      <rPr>
        <sz val="11"/>
        <rFont val="Noto Sans CJK SC"/>
        <family val="2"/>
      </rPr>
      <t xml:space="preserve">倍但收黑：「放量收黑」；處置股、注意股照常保留並標示</t>
    </r>
  </si>
  <si>
    <r>
      <rPr>
        <sz val="11"/>
        <rFont val="Noto Sans CJK SC"/>
        <family val="2"/>
      </rPr>
      <t xml:space="preserve">最新月營收年增、近 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月累計營收年增、最近一季 </t>
    </r>
    <r>
      <rPr>
        <sz val="11"/>
        <rFont val="Arial"/>
        <family val="0"/>
        <charset val="1"/>
      </rPr>
      <t xml:space="preserve">EPS </t>
    </r>
    <r>
      <rPr>
        <sz val="11"/>
        <rFont val="Noto Sans CJK SC"/>
        <family val="2"/>
      </rPr>
      <t xml:space="preserve">＞ 去年同季，三項都符合＝基本面支持；否則＝題材／籌碼型</t>
    </r>
  </si>
  <si>
    <t xml:space="preserve">支撐／失效</t>
  </si>
  <si>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日均線＝警戒（減碼一部分）；</t>
    </r>
    <r>
      <rPr>
        <sz val="11"/>
        <rFont val="Arial"/>
        <family val="0"/>
        <charset val="1"/>
      </rPr>
      <t xml:space="preserve">65 </t>
    </r>
    <r>
      <rPr>
        <sz val="11"/>
        <rFont val="Noto Sans CJK SC"/>
        <family val="2"/>
      </rPr>
      <t xml:space="preserve">日均線＝失效（出場或大幅降低部位）</t>
    </r>
  </si>
  <si>
    <t xml:space="preserve">資料來源</t>
  </si>
  <si>
    <t xml:space="preserve">每日行情（上市／上櫃）</t>
  </si>
  <si>
    <r>
      <rPr>
        <sz val="11"/>
        <rFont val="Arial"/>
        <family val="0"/>
        <charset val="1"/>
      </rPr>
      <t xml:space="preserve">https://www.twse.com.tw/rwd/zh/afterTrading/MI_INDEX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https://www.tpex.org.tw/www/zh-tw/afterTrading/otc</t>
    </r>
  </si>
  <si>
    <t xml:space="preserve">加權指數</t>
  </si>
  <si>
    <t xml:space="preserve">https://www.twse.com.tw/rwd/zh/afterTrading/FMTQIK</t>
  </si>
  <si>
    <t xml:space="preserve">三大法人個股買賣超</t>
  </si>
  <si>
    <r>
      <rPr>
        <sz val="11"/>
        <rFont val="Arial"/>
        <family val="0"/>
        <charset val="1"/>
      </rPr>
      <t xml:space="preserve">https://www.twse.com.tw/rwd/zh/fund/T86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https://www.tpex.org.tw/www/zh-tw/insti/dailyTrade</t>
    </r>
  </si>
  <si>
    <r>
      <rPr>
        <sz val="11"/>
        <rFont val="Arial"/>
        <family val="0"/>
        <charset val="1"/>
      </rPr>
      <t xml:space="preserve">https://openapi.twse.com.tw/v1/announcement/punish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https://www.tpex.org.tw/openapi/v1/tpex_disposal_information</t>
    </r>
  </si>
  <si>
    <t xml:space="preserve">注意股</t>
  </si>
  <si>
    <r>
      <rPr>
        <sz val="11"/>
        <rFont val="Arial"/>
        <family val="0"/>
        <charset val="1"/>
      </rPr>
      <t xml:space="preserve">https://openapi.twse.com.tw/v1/announcement/notice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https://www.tpex.org.tw/openapi/v1/tpex_trading_warning_information</t>
    </r>
  </si>
  <si>
    <r>
      <rPr>
        <sz val="11"/>
        <rFont val="Noto Sans CJK SC"/>
        <family val="2"/>
      </rPr>
      <t xml:space="preserve">月營收（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月）</t>
    </r>
  </si>
  <si>
    <r>
      <rPr>
        <sz val="11"/>
        <rFont val="Arial"/>
        <family val="0"/>
        <charset val="1"/>
      </rPr>
      <t xml:space="preserve">https://openapi.twse.com.tw/v1/opendata/t187ap05_L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https://www.tpex.org.tw/openapi/v1/mopsfin_t187ap05_O</t>
    </r>
  </si>
  <si>
    <r>
      <rPr>
        <sz val="11"/>
        <rFont val="Noto Sans CJK SC"/>
        <family val="2"/>
      </rPr>
      <t xml:space="preserve">月營收（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月）</t>
    </r>
  </si>
  <si>
    <r>
      <rPr>
        <sz val="11"/>
        <rFont val="Arial"/>
        <family val="0"/>
        <charset val="1"/>
      </rPr>
      <t xml:space="preserve">https://histock.tw/stock/</t>
    </r>
    <r>
      <rPr>
        <sz val="11"/>
        <rFont val="Noto Sans CJK SC"/>
        <family val="2"/>
      </rPr>
      <t xml:space="preserve">代號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每月營收</t>
    </r>
  </si>
  <si>
    <r>
      <rPr>
        <sz val="11"/>
        <rFont val="Noto Sans CJK SC"/>
        <family val="2"/>
      </rPr>
      <t xml:space="preserve">單季 </t>
    </r>
    <r>
      <rPr>
        <sz val="11"/>
        <rFont val="Arial"/>
        <family val="0"/>
        <charset val="1"/>
      </rPr>
      <t xml:space="preserve">EPS</t>
    </r>
  </si>
  <si>
    <r>
      <rPr>
        <sz val="11"/>
        <rFont val="Arial"/>
        <family val="0"/>
        <charset val="1"/>
      </rPr>
      <t xml:space="preserve">https://tw.stock.yahoo.com/quote/</t>
    </r>
    <r>
      <rPr>
        <sz val="11"/>
        <rFont val="Noto Sans CJK SC"/>
        <family val="2"/>
      </rPr>
      <t xml:space="preserve">代號</t>
    </r>
    <r>
      <rPr>
        <sz val="11"/>
        <rFont val="Arial"/>
        <family val="0"/>
        <charset val="1"/>
      </rPr>
      <t xml:space="preserve">.TW/eps</t>
    </r>
    <r>
      <rPr>
        <sz val="11"/>
        <rFont val="Noto Sans CJK SC"/>
        <family val="2"/>
      </rPr>
      <t xml:space="preserve">（上櫃為 </t>
    </r>
    <r>
      <rPr>
        <sz val="11"/>
        <rFont val="Arial"/>
        <family val="0"/>
        <charset val="1"/>
      </rPr>
      <t xml:space="preserve">.TWO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</si>
  <si>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永擎 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月營收、</t>
    </r>
    <r>
      <rPr>
        <sz val="11"/>
        <rFont val="Arial"/>
        <family val="0"/>
        <charset val="1"/>
      </rPr>
      <t xml:space="preserve">Q2 EPS </t>
    </r>
    <r>
      <rPr>
        <sz val="11"/>
        <rFont val="Noto Sans CJK SC"/>
        <family val="2"/>
      </rPr>
      <t xml:space="preserve">年增</t>
    </r>
  </si>
  <si>
    <t xml:space="preserve">https://winvest.tw/News/Detail/94943</t>
  </si>
  <si>
    <t xml:space="preserve">已知限制</t>
  </si>
  <si>
    <t xml:space="preserve">1</t>
  </si>
  <si>
    <t xml:space="preserve">股價報酬沒有做除權息還原，除息的股票報酬會略為低估</t>
  </si>
  <si>
    <t xml:space="preserve">2</t>
  </si>
  <si>
    <r>
      <rPr>
        <sz val="11"/>
        <rFont val="Noto Sans CJK SC"/>
        <family val="2"/>
      </rPr>
      <t xml:space="preserve">處置／注意股名單是 </t>
    </r>
    <r>
      <rPr>
        <sz val="11"/>
        <rFont val="Arial"/>
        <family val="0"/>
        <charset val="1"/>
      </rPr>
      <t xml:space="preserve">10/19 </t>
    </r>
    <r>
      <rPr>
        <sz val="11"/>
        <rFont val="Noto Sans CJK SC"/>
        <family val="2"/>
      </rPr>
      <t xml:space="preserve">抓的最新公告，不是 </t>
    </r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當天的名單</t>
    </r>
  </si>
  <si>
    <t xml:space="preserve">3</t>
  </si>
  <si>
    <r>
      <rPr>
        <sz val="11"/>
        <rFont val="Noto Sans CJK SC"/>
        <family val="2"/>
      </rPr>
      <t xml:space="preserve">第 </t>
    </r>
    <r>
      <rPr>
        <sz val="11"/>
        <rFont val="Arial"/>
        <family val="0"/>
        <charset val="1"/>
      </rPr>
      <t xml:space="preserve">11 </t>
    </r>
    <r>
      <rPr>
        <sz val="11"/>
        <rFont val="Noto Sans CJK SC"/>
        <family val="2"/>
      </rPr>
      <t xml:space="preserve">名以後尚未逐檔分類</t>
    </r>
  </si>
  <si>
    <t xml:space="preserve">4</t>
  </si>
  <si>
    <r>
      <rPr>
        <sz val="11"/>
        <rFont val="Noto Sans CJK SC"/>
        <family val="2"/>
      </rPr>
      <t xml:space="preserve">濱川（</t>
    </r>
    <r>
      <rPr>
        <sz val="11"/>
        <rFont val="Arial"/>
        <family val="0"/>
        <charset val="1"/>
      </rPr>
      <t xml:space="preserve">1569</t>
    </r>
    <r>
      <rPr>
        <sz val="11"/>
        <rFont val="Noto Sans CJK SC"/>
        <family val="2"/>
      </rPr>
      <t xml:space="preserve">）依規則算「基本面支持」，但它仍在虧損，</t>
    </r>
    <r>
      <rPr>
        <sz val="11"/>
        <rFont val="Arial"/>
        <family val="0"/>
        <charset val="1"/>
      </rPr>
      <t xml:space="preserve">EPS </t>
    </r>
    <r>
      <rPr>
        <sz val="11"/>
        <rFont val="Noto Sans CJK SC"/>
        <family val="2"/>
      </rPr>
      <t xml:space="preserve">只是虧損比去年小，已加註「仍虧損」</t>
    </r>
  </si>
  <si>
    <t xml:space="preserve">5</t>
  </si>
  <si>
    <t xml:space="preserve">均線與量價訊號、催化劑欄為根據數字的分析判斷，尚未查證新聞與法說內容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</si>
</sst>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#,##0"/>
    <numFmt numFmtId="168" formatCode="#,##0;\(#,##0\)"/>
    <numFmt numFmtId="169" formatCode="0.0"/>
    <numFmt numFmtId="170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C00000"/>
      <name val="Noto Sans CJK SC"/>
      <family val="2"/>
    </font>
    <font>
      <i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i val="true"/>
      <sz val="11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13" min="8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24" min="18" style="0" width="9"/>
    <col collapsed="false" customWidth="true" hidden="false" outlineLevel="0" max="27" min="25" style="0" width="8"/>
    <col collapsed="false" customWidth="true" hidden="false" outlineLevel="0" max="28" min="28" style="0" width="6"/>
    <col collapsed="false" customWidth="true" hidden="false" outlineLevel="0" max="29" min="29" style="0" width="7"/>
    <col collapsed="false" customWidth="true" hidden="false" outlineLevel="0" max="31" min="30" style="0" width="36"/>
    <col collapsed="false" customWidth="true" hidden="false" outlineLevel="0" max="32" min="32" style="0" width="4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48.5" hidden="false" customHeight="false" outlineLevel="0" collapsed="false">
      <c r="A2" s="3" t="n">
        <v>1</v>
      </c>
      <c r="B2" s="3" t="s">
        <v>32</v>
      </c>
      <c r="C2" s="4" t="s">
        <v>33</v>
      </c>
      <c r="D2" s="4" t="s">
        <v>34</v>
      </c>
      <c r="E2" s="4" t="s">
        <v>35</v>
      </c>
      <c r="F2" s="5" t="s">
        <v>36</v>
      </c>
      <c r="G2" s="3"/>
      <c r="H2" s="6" t="n">
        <v>122.5</v>
      </c>
      <c r="I2" s="7" t="n">
        <v>0.108597285067873</v>
      </c>
      <c r="J2" s="7" t="n">
        <v>0.465311004784689</v>
      </c>
      <c r="K2" s="7" t="n">
        <v>0.850453172205438</v>
      </c>
      <c r="L2" s="6" t="n">
        <v>129</v>
      </c>
      <c r="M2" s="8" t="n">
        <f aca="false">H2/L2-1</f>
        <v>-0.0503875968992248</v>
      </c>
      <c r="N2" s="6" t="n">
        <v>97.89</v>
      </c>
      <c r="O2" s="8" t="n">
        <f aca="false">H2/N2-1</f>
        <v>0.251404637858821</v>
      </c>
      <c r="P2" s="6" t="n">
        <v>83</v>
      </c>
      <c r="Q2" s="8" t="n">
        <f aca="false">H2/P2-1</f>
        <v>0.475903614457831</v>
      </c>
      <c r="R2" s="9" t="n">
        <v>71676</v>
      </c>
      <c r="S2" s="9" t="n">
        <v>37895</v>
      </c>
      <c r="T2" s="9" t="n">
        <v>49582</v>
      </c>
      <c r="U2" s="10" t="n">
        <v>-44275</v>
      </c>
      <c r="V2" s="10" t="n">
        <v>56380</v>
      </c>
      <c r="W2" s="7" t="n">
        <v>0.0337772565879269</v>
      </c>
      <c r="X2" s="8" t="n">
        <f aca="false">營收與EPS!I2</f>
        <v>0.489974901005177</v>
      </c>
      <c r="Y2" s="11" t="n">
        <f aca="false">營收與EPS!K2</f>
        <v>2.18</v>
      </c>
      <c r="Z2" s="11" t="n">
        <f aca="false">營收與EPS!L2</f>
        <v>-0.79</v>
      </c>
      <c r="AA2" s="12" t="n">
        <f aca="false">(I2-(-4.47/100))*100*0.2+(J2-(2.01/100))*100*0.3+(K2-(5.3/100))*100*0.5</f>
        <v>56.29493445517</v>
      </c>
      <c r="AB2" s="13" t="n">
        <v>0</v>
      </c>
      <c r="AC2" s="12" t="n">
        <f aca="false">AA2+AB2</f>
        <v>56.29493445517</v>
      </c>
      <c r="AD2" s="4" t="s">
        <v>37</v>
      </c>
      <c r="AE2" s="3" t="s">
        <v>38</v>
      </c>
      <c r="AF2" s="4" t="s">
        <v>39</v>
      </c>
    </row>
    <row r="3" customFormat="false" ht="48.5" hidden="false" customHeight="false" outlineLevel="0" collapsed="false">
      <c r="A3" s="3" t="n">
        <v>2</v>
      </c>
      <c r="B3" s="3" t="s">
        <v>40</v>
      </c>
      <c r="C3" s="4" t="s">
        <v>41</v>
      </c>
      <c r="D3" s="4" t="s">
        <v>34</v>
      </c>
      <c r="E3" s="4" t="s">
        <v>42</v>
      </c>
      <c r="F3" s="5" t="s">
        <v>36</v>
      </c>
      <c r="G3" s="3"/>
      <c r="H3" s="6" t="n">
        <v>298.5</v>
      </c>
      <c r="I3" s="7" t="n">
        <v>0.203629032258065</v>
      </c>
      <c r="J3" s="7" t="n">
        <v>0.600536193029491</v>
      </c>
      <c r="K3" s="7" t="n">
        <v>0.730434782608696</v>
      </c>
      <c r="L3" s="6" t="n">
        <v>314.5</v>
      </c>
      <c r="M3" s="8" t="n">
        <f aca="false">H3/L3-1</f>
        <v>-0.0508744038155803</v>
      </c>
      <c r="N3" s="6" t="n">
        <v>227.55</v>
      </c>
      <c r="O3" s="8" t="n">
        <f aca="false">H3/N3-1</f>
        <v>0.311799604482531</v>
      </c>
      <c r="P3" s="6" t="n">
        <v>192.11</v>
      </c>
      <c r="Q3" s="8" t="n">
        <f aca="false">H3/P3-1</f>
        <v>0.55379730362813</v>
      </c>
      <c r="R3" s="9" t="n">
        <v>33959</v>
      </c>
      <c r="S3" s="9" t="n">
        <v>16382</v>
      </c>
      <c r="T3" s="9" t="n">
        <v>40009</v>
      </c>
      <c r="U3" s="10" t="n">
        <v>22117</v>
      </c>
      <c r="V3" s="10" t="n">
        <v>5185</v>
      </c>
      <c r="W3" s="7" t="n">
        <v>0.160796187051698</v>
      </c>
      <c r="X3" s="8" t="n">
        <f aca="false">營收與EPS!I3</f>
        <v>0.130611736773732</v>
      </c>
      <c r="Y3" s="11" t="n">
        <f aca="false">營收與EPS!K3</f>
        <v>2.76</v>
      </c>
      <c r="Z3" s="11" t="n">
        <f aca="false">營收與EPS!L3</f>
        <v>1.64</v>
      </c>
      <c r="AA3" s="12" t="n">
        <f aca="false">(I3-(-4.47/100))*100*0.2+(J3-(2.01/100))*100*0.3+(K3-(5.3/100))*100*0.5</f>
        <v>56.2514055664808</v>
      </c>
      <c r="AB3" s="13" t="n">
        <v>0</v>
      </c>
      <c r="AC3" s="12" t="n">
        <f aca="false">AA3+AB3</f>
        <v>56.2514055664808</v>
      </c>
      <c r="AD3" s="4" t="s">
        <v>43</v>
      </c>
      <c r="AE3" s="3" t="s">
        <v>44</v>
      </c>
      <c r="AF3" s="4" t="s">
        <v>45</v>
      </c>
    </row>
    <row r="4" customFormat="false" ht="48.5" hidden="false" customHeight="false" outlineLevel="0" collapsed="false">
      <c r="A4" s="3" t="n">
        <v>3</v>
      </c>
      <c r="B4" s="3" t="s">
        <v>46</v>
      </c>
      <c r="C4" s="4" t="s">
        <v>47</v>
      </c>
      <c r="D4" s="4" t="s">
        <v>48</v>
      </c>
      <c r="E4" s="4" t="s">
        <v>49</v>
      </c>
      <c r="F4" s="5" t="s">
        <v>36</v>
      </c>
      <c r="G4" s="4" t="s">
        <v>50</v>
      </c>
      <c r="H4" s="6" t="n">
        <v>269</v>
      </c>
      <c r="I4" s="7" t="n">
        <v>0.127882599580713</v>
      </c>
      <c r="J4" s="7" t="n">
        <v>0.63030303030303</v>
      </c>
      <c r="K4" s="7" t="n">
        <v>0.645259938837921</v>
      </c>
      <c r="L4" s="6" t="n">
        <v>292.5</v>
      </c>
      <c r="M4" s="8" t="n">
        <f aca="false">H4/L4-1</f>
        <v>-0.0803418803418804</v>
      </c>
      <c r="N4" s="6" t="n">
        <v>205.23</v>
      </c>
      <c r="O4" s="8" t="n">
        <f aca="false">H4/N4-1</f>
        <v>0.310724552940603</v>
      </c>
      <c r="P4" s="6" t="n">
        <v>179.02</v>
      </c>
      <c r="Q4" s="8" t="n">
        <f aca="false">H4/P4-1</f>
        <v>0.502625404982684</v>
      </c>
      <c r="R4" s="9" t="n">
        <v>7118</v>
      </c>
      <c r="S4" s="9" t="n">
        <v>3521</v>
      </c>
      <c r="T4" s="9" t="n">
        <v>2754</v>
      </c>
      <c r="U4" s="10" t="n">
        <v>6440</v>
      </c>
      <c r="V4" s="10" t="n">
        <v>0</v>
      </c>
      <c r="W4" s="7" t="n">
        <v>0.180941250842886</v>
      </c>
      <c r="X4" s="8" t="n">
        <f aca="false">營收與EPS!I4</f>
        <v>0.0701137649161703</v>
      </c>
      <c r="Y4" s="11" t="n">
        <f aca="false">營收與EPS!K4</f>
        <v>2.09</v>
      </c>
      <c r="Z4" s="11" t="n">
        <f aca="false">營收與EPS!L4</f>
        <v>0.66</v>
      </c>
      <c r="AA4" s="12" t="n">
        <f aca="false">(I4-(-4.47/100))*100*0.2+(J4-(2.01/100))*100*0.3+(K4-(5.3/100))*100*0.5</f>
        <v>51.3707398426012</v>
      </c>
      <c r="AB4" s="13" t="n">
        <v>0</v>
      </c>
      <c r="AC4" s="12" t="n">
        <f aca="false">AA4+AB4</f>
        <v>51.3707398426012</v>
      </c>
      <c r="AD4" s="4" t="s">
        <v>51</v>
      </c>
      <c r="AE4" s="3" t="s">
        <v>52</v>
      </c>
      <c r="AF4" s="4" t="s">
        <v>53</v>
      </c>
    </row>
    <row r="5" customFormat="false" ht="48.5" hidden="false" customHeight="false" outlineLevel="0" collapsed="false">
      <c r="A5" s="3" t="n">
        <v>4</v>
      </c>
      <c r="B5" s="3" t="s">
        <v>54</v>
      </c>
      <c r="C5" s="4" t="s">
        <v>55</v>
      </c>
      <c r="D5" s="4" t="s">
        <v>48</v>
      </c>
      <c r="E5" s="4" t="s">
        <v>56</v>
      </c>
      <c r="F5" s="5" t="s">
        <v>36</v>
      </c>
      <c r="G5" s="4" t="s">
        <v>57</v>
      </c>
      <c r="H5" s="6" t="n">
        <v>78.9</v>
      </c>
      <c r="I5" s="7" t="n">
        <v>0.127142857142857</v>
      </c>
      <c r="J5" s="7" t="n">
        <v>0.559288537549407</v>
      </c>
      <c r="K5" s="7" t="n">
        <v>0.664556962025317</v>
      </c>
      <c r="L5" s="6" t="n">
        <v>86.3</v>
      </c>
      <c r="M5" s="8" t="n">
        <f aca="false">H5/L5-1</f>
        <v>-0.0857473928157589</v>
      </c>
      <c r="N5" s="6" t="n">
        <v>65.7</v>
      </c>
      <c r="O5" s="8" t="n">
        <f aca="false">H5/N5-1</f>
        <v>0.200913242009132</v>
      </c>
      <c r="P5" s="6" t="n">
        <v>51.39</v>
      </c>
      <c r="Q5" s="8" t="n">
        <f aca="false">H5/P5-1</f>
        <v>0.535318155283129</v>
      </c>
      <c r="R5" s="9" t="n">
        <v>13675</v>
      </c>
      <c r="S5" s="9" t="n">
        <v>7776</v>
      </c>
      <c r="T5" s="9" t="n">
        <v>8475</v>
      </c>
      <c r="U5" s="10" t="n">
        <v>1773</v>
      </c>
      <c r="V5" s="10" t="n">
        <v>0</v>
      </c>
      <c r="W5" s="7" t="n">
        <v>0.0259259064250508</v>
      </c>
      <c r="X5" s="8" t="n">
        <f aca="false">營收與EPS!I5</f>
        <v>0.0095447526097967</v>
      </c>
      <c r="Y5" s="11" t="n">
        <f aca="false">營收與EPS!K5</f>
        <v>-0.94</v>
      </c>
      <c r="Z5" s="11" t="n">
        <f aca="false">營收與EPS!L5</f>
        <v>-2.28</v>
      </c>
      <c r="AA5" s="12" t="n">
        <f aca="false">(I5-(-4.47/100))*100*0.2+(J5-(2.01/100))*100*0.3+(K5-(5.3/100))*100*0.5</f>
        <v>50.1903613706052</v>
      </c>
      <c r="AB5" s="13" t="n">
        <v>0</v>
      </c>
      <c r="AC5" s="12" t="n">
        <f aca="false">AA5+AB5</f>
        <v>50.1903613706052</v>
      </c>
      <c r="AD5" s="4" t="s">
        <v>58</v>
      </c>
      <c r="AE5" s="3" t="s">
        <v>59</v>
      </c>
      <c r="AF5" s="4" t="s">
        <v>60</v>
      </c>
    </row>
    <row r="6" customFormat="false" ht="48.5" hidden="false" customHeight="false" outlineLevel="0" collapsed="false">
      <c r="A6" s="3" t="n">
        <v>5</v>
      </c>
      <c r="B6" s="3" t="s">
        <v>61</v>
      </c>
      <c r="C6" s="4" t="s">
        <v>62</v>
      </c>
      <c r="D6" s="4" t="s">
        <v>34</v>
      </c>
      <c r="E6" s="4" t="s">
        <v>56</v>
      </c>
      <c r="F6" s="5" t="s">
        <v>36</v>
      </c>
      <c r="G6" s="3"/>
      <c r="H6" s="6" t="n">
        <v>573</v>
      </c>
      <c r="I6" s="7" t="n">
        <v>-0.0976377952755906</v>
      </c>
      <c r="J6" s="7" t="n">
        <v>0.0790960451977401</v>
      </c>
      <c r="K6" s="7" t="n">
        <v>0.821939586645469</v>
      </c>
      <c r="L6" s="6" t="n">
        <v>675</v>
      </c>
      <c r="M6" s="8" t="n">
        <f aca="false">H6/L6-1</f>
        <v>-0.151111111111111</v>
      </c>
      <c r="N6" s="6" t="n">
        <v>570</v>
      </c>
      <c r="O6" s="8" t="n">
        <f aca="false">H6/N6-1</f>
        <v>0.00526315789473686</v>
      </c>
      <c r="P6" s="6" t="n">
        <v>478</v>
      </c>
      <c r="Q6" s="8" t="n">
        <f aca="false">H6/P6-1</f>
        <v>0.198744769874477</v>
      </c>
      <c r="R6" s="9" t="n">
        <v>1216</v>
      </c>
      <c r="S6" s="9" t="n">
        <v>1153</v>
      </c>
      <c r="T6" s="9" t="n">
        <v>592</v>
      </c>
      <c r="U6" s="10" t="n">
        <v>474</v>
      </c>
      <c r="V6" s="10" t="n">
        <v>0</v>
      </c>
      <c r="W6" s="7" t="n">
        <v>0.0779750438807706</v>
      </c>
      <c r="X6" s="8" t="n">
        <f aca="false">營收與EPS!I6</f>
        <v>0.780853705977672</v>
      </c>
      <c r="Y6" s="11" t="n">
        <f aca="false">營收與EPS!K6</f>
        <v>9.76</v>
      </c>
      <c r="Z6" s="11" t="n">
        <f aca="false">營收與EPS!L6</f>
        <v>6.64</v>
      </c>
      <c r="AA6" s="12" t="n">
        <f aca="false">(I6-(-4.47/100))*100*0.2+(J6-(2.01/100))*100*0.3+(K6-(5.3/100))*100*0.5</f>
        <v>39.1581047826938</v>
      </c>
      <c r="AB6" s="13" t="n">
        <v>0</v>
      </c>
      <c r="AC6" s="12" t="n">
        <f aca="false">AA6+AB6</f>
        <v>39.1581047826938</v>
      </c>
      <c r="AD6" s="4" t="s">
        <v>63</v>
      </c>
      <c r="AE6" s="3" t="s">
        <v>64</v>
      </c>
      <c r="AF6" s="4" t="s">
        <v>65</v>
      </c>
    </row>
    <row r="7" customFormat="false" ht="48.5" hidden="false" customHeight="false" outlineLevel="0" collapsed="false">
      <c r="A7" s="3" t="n">
        <v>6</v>
      </c>
      <c r="B7" s="3" t="s">
        <v>66</v>
      </c>
      <c r="C7" s="4" t="s">
        <v>67</v>
      </c>
      <c r="D7" s="4" t="s">
        <v>34</v>
      </c>
      <c r="E7" s="4" t="s">
        <v>68</v>
      </c>
      <c r="F7" s="14" t="s">
        <v>69</v>
      </c>
      <c r="G7" s="3"/>
      <c r="H7" s="6" t="n">
        <v>311.5</v>
      </c>
      <c r="I7" s="7" t="n">
        <v>0.0196399345335516</v>
      </c>
      <c r="J7" s="7" t="n">
        <v>0.145220588235294</v>
      </c>
      <c r="K7" s="7" t="n">
        <v>0.679245283018868</v>
      </c>
      <c r="L7" s="6" t="n">
        <v>364</v>
      </c>
      <c r="M7" s="8" t="n">
        <f aca="false">H7/L7-1</f>
        <v>-0.144230769230769</v>
      </c>
      <c r="N7" s="6" t="n">
        <v>282.95</v>
      </c>
      <c r="O7" s="8" t="n">
        <f aca="false">H7/N7-1</f>
        <v>0.100901219296696</v>
      </c>
      <c r="P7" s="6" t="n">
        <v>262.45</v>
      </c>
      <c r="Q7" s="8" t="n">
        <f aca="false">H7/P7-1</f>
        <v>0.186892741474567</v>
      </c>
      <c r="R7" s="9" t="n">
        <v>36729</v>
      </c>
      <c r="S7" s="9" t="n">
        <v>25866</v>
      </c>
      <c r="T7" s="9" t="n">
        <v>29292</v>
      </c>
      <c r="U7" s="10" t="n">
        <v>269</v>
      </c>
      <c r="V7" s="10" t="n">
        <v>40</v>
      </c>
      <c r="W7" s="7" t="n">
        <v>0.00168394292989472</v>
      </c>
      <c r="X7" s="8" t="n">
        <f aca="false">營收與EPS!I7</f>
        <v>-0.132591757798369</v>
      </c>
      <c r="Y7" s="11" t="n">
        <f aca="false">營收與EPS!K7</f>
        <v>0.91</v>
      </c>
      <c r="Z7" s="11" t="n">
        <f aca="false">營收與EPS!L7</f>
        <v>0.13</v>
      </c>
      <c r="AA7" s="12" t="n">
        <f aca="false">(I7-(-4.47/100))*100*0.2+(J7-(2.01/100))*100*0.3+(K7-(5.3/100))*100*0.5</f>
        <v>36.3526804886733</v>
      </c>
      <c r="AB7" s="13" t="n">
        <v>0</v>
      </c>
      <c r="AC7" s="12" t="n">
        <f aca="false">AA7+AB7</f>
        <v>36.3526804886733</v>
      </c>
      <c r="AD7" s="4" t="s">
        <v>70</v>
      </c>
      <c r="AE7" s="3" t="s">
        <v>71</v>
      </c>
      <c r="AF7" s="4" t="s">
        <v>72</v>
      </c>
    </row>
    <row r="8" customFormat="false" ht="48.5" hidden="false" customHeight="false" outlineLevel="0" collapsed="false">
      <c r="A8" s="3" t="n">
        <v>7</v>
      </c>
      <c r="B8" s="3" t="s">
        <v>73</v>
      </c>
      <c r="C8" s="4" t="s">
        <v>74</v>
      </c>
      <c r="D8" s="4" t="s">
        <v>48</v>
      </c>
      <c r="E8" s="4" t="s">
        <v>68</v>
      </c>
      <c r="F8" s="5" t="s">
        <v>36</v>
      </c>
      <c r="G8" s="4" t="s">
        <v>75</v>
      </c>
      <c r="H8" s="6" t="n">
        <v>140</v>
      </c>
      <c r="I8" s="7" t="n">
        <v>0.037037037037037</v>
      </c>
      <c r="J8" s="7" t="n">
        <v>0.0980392156862746</v>
      </c>
      <c r="K8" s="7" t="n">
        <v>0.583710407239819</v>
      </c>
      <c r="L8" s="6" t="n">
        <v>141.5</v>
      </c>
      <c r="M8" s="8" t="n">
        <f aca="false">H8/L8-1</f>
        <v>-0.0106007067137809</v>
      </c>
      <c r="N8" s="6" t="n">
        <v>123.64</v>
      </c>
      <c r="O8" s="8" t="n">
        <f aca="false">H8/N8-1</f>
        <v>0.132319637657716</v>
      </c>
      <c r="P8" s="6" t="n">
        <v>106.43</v>
      </c>
      <c r="Q8" s="8" t="n">
        <f aca="false">H8/P8-1</f>
        <v>0.315418584985436</v>
      </c>
      <c r="R8" s="9" t="n">
        <v>89282</v>
      </c>
      <c r="S8" s="9" t="n">
        <v>64380</v>
      </c>
      <c r="T8" s="9" t="n">
        <v>146694</v>
      </c>
      <c r="U8" s="10" t="n">
        <v>13409</v>
      </c>
      <c r="V8" s="10" t="n">
        <v>1379</v>
      </c>
      <c r="W8" s="7" t="n">
        <v>0.0331268660059856</v>
      </c>
      <c r="X8" s="8" t="n">
        <f aca="false">營收與EPS!I8</f>
        <v>0.765121808314205</v>
      </c>
      <c r="Y8" s="11" t="n">
        <f aca="false">營收與EPS!K8</f>
        <v>1.45</v>
      </c>
      <c r="Z8" s="11" t="n">
        <f aca="false">營收與EPS!L8</f>
        <v>-0.06</v>
      </c>
      <c r="AA8" s="12" t="n">
        <f aca="false">(I8-(-4.47/100))*100*0.2+(J8-(2.01/100))*100*0.3+(K8-(5.3/100))*100*0.5</f>
        <v>30.5084375733199</v>
      </c>
      <c r="AB8" s="13" t="n">
        <v>5</v>
      </c>
      <c r="AC8" s="12" t="n">
        <f aca="false">AA8+AB8</f>
        <v>35.5084375733199</v>
      </c>
      <c r="AD8" s="4" t="s">
        <v>76</v>
      </c>
      <c r="AE8" s="3" t="s">
        <v>77</v>
      </c>
      <c r="AF8" s="4" t="s">
        <v>78</v>
      </c>
    </row>
    <row r="9" customFormat="false" ht="48.5" hidden="false" customHeight="false" outlineLevel="0" collapsed="false">
      <c r="A9" s="3" t="n">
        <v>8</v>
      </c>
      <c r="B9" s="3" t="s">
        <v>79</v>
      </c>
      <c r="C9" s="4" t="s">
        <v>80</v>
      </c>
      <c r="D9" s="4" t="s">
        <v>34</v>
      </c>
      <c r="E9" s="4" t="s">
        <v>68</v>
      </c>
      <c r="F9" s="14" t="s">
        <v>69</v>
      </c>
      <c r="G9" s="4" t="s">
        <v>81</v>
      </c>
      <c r="H9" s="6" t="n">
        <v>82</v>
      </c>
      <c r="I9" s="7" t="n">
        <v>0.289308176100629</v>
      </c>
      <c r="J9" s="7" t="n">
        <v>0.240544629349471</v>
      </c>
      <c r="K9" s="7" t="n">
        <v>0.366666666666667</v>
      </c>
      <c r="L9" s="6" t="n">
        <v>91.8</v>
      </c>
      <c r="M9" s="8" t="n">
        <f aca="false">H9/L9-1</f>
        <v>-0.106753812636166</v>
      </c>
      <c r="N9" s="6" t="n">
        <v>65.91</v>
      </c>
      <c r="O9" s="8" t="n">
        <f aca="false">H9/N9-1</f>
        <v>0.24412077074799</v>
      </c>
      <c r="P9" s="6" t="n">
        <v>63.66</v>
      </c>
      <c r="Q9" s="8" t="n">
        <f aca="false">H9/P9-1</f>
        <v>0.288092994030789</v>
      </c>
      <c r="R9" s="9" t="n">
        <v>12984</v>
      </c>
      <c r="S9" s="9" t="n">
        <v>5336</v>
      </c>
      <c r="T9" s="9" t="n">
        <v>27988</v>
      </c>
      <c r="U9" s="10" t="n">
        <v>1682</v>
      </c>
      <c r="V9" s="10" t="n">
        <v>0</v>
      </c>
      <c r="W9" s="7" t="n">
        <v>0.0259140696256995</v>
      </c>
      <c r="X9" s="8" t="n">
        <f aca="false">營收與EPS!I9</f>
        <v>0.00755452330528117</v>
      </c>
      <c r="Y9" s="11" t="n">
        <f aca="false">營收與EPS!K9</f>
        <v>-1.68</v>
      </c>
      <c r="Z9" s="11" t="n">
        <f aca="false">營收與EPS!L9</f>
        <v>-1.41</v>
      </c>
      <c r="AA9" s="12" t="n">
        <f aca="false">(I9-(-4.47/100))*100*0.2+(J9-(2.01/100))*100*0.3+(K9-(5.3/100))*100*0.5</f>
        <v>28.97683573583</v>
      </c>
      <c r="AB9" s="13" t="n">
        <v>5</v>
      </c>
      <c r="AC9" s="12" t="n">
        <f aca="false">AA9+AB9</f>
        <v>33.97683573583</v>
      </c>
      <c r="AD9" s="4" t="s">
        <v>82</v>
      </c>
      <c r="AE9" s="3" t="s">
        <v>83</v>
      </c>
      <c r="AF9" s="4" t="s">
        <v>84</v>
      </c>
    </row>
    <row r="10" customFormat="false" ht="48.5" hidden="false" customHeight="false" outlineLevel="0" collapsed="false">
      <c r="A10" s="3" t="n">
        <v>9</v>
      </c>
      <c r="B10" s="3" t="s">
        <v>85</v>
      </c>
      <c r="C10" s="4" t="s">
        <v>86</v>
      </c>
      <c r="D10" s="4" t="s">
        <v>34</v>
      </c>
      <c r="E10" s="4" t="s">
        <v>68</v>
      </c>
      <c r="F10" s="14" t="s">
        <v>69</v>
      </c>
      <c r="G10" s="4" t="s">
        <v>87</v>
      </c>
      <c r="H10" s="6" t="n">
        <v>500</v>
      </c>
      <c r="I10" s="7" t="n">
        <v>0.0775862068965518</v>
      </c>
      <c r="J10" s="7" t="n">
        <v>0.555209953343701</v>
      </c>
      <c r="K10" s="7" t="n">
        <v>0.360544217687075</v>
      </c>
      <c r="L10" s="6" t="n">
        <v>569</v>
      </c>
      <c r="M10" s="8" t="n">
        <f aca="false">H10/L10-1</f>
        <v>-0.121265377855888</v>
      </c>
      <c r="N10" s="6" t="n">
        <v>457.3</v>
      </c>
      <c r="O10" s="8" t="n">
        <f aca="false">H10/N10-1</f>
        <v>0.0933741526350316</v>
      </c>
      <c r="P10" s="6" t="n">
        <v>398.74</v>
      </c>
      <c r="Q10" s="8" t="n">
        <f aca="false">H10/P10-1</f>
        <v>0.253949942318303</v>
      </c>
      <c r="R10" s="9" t="n">
        <v>3107</v>
      </c>
      <c r="S10" s="9" t="n">
        <v>2624</v>
      </c>
      <c r="T10" s="9" t="n">
        <v>4142</v>
      </c>
      <c r="U10" s="10" t="n">
        <v>-467</v>
      </c>
      <c r="V10" s="10" t="n">
        <v>1260</v>
      </c>
      <c r="W10" s="7" t="n">
        <v>0.0510303679118517</v>
      </c>
      <c r="X10" s="8" t="n">
        <f aca="false">營收與EPS!I10</f>
        <v>0.51911743661129</v>
      </c>
      <c r="Y10" s="11" t="n">
        <f aca="false">營收與EPS!K10</f>
        <v>-0.12</v>
      </c>
      <c r="Z10" s="11" t="n">
        <f aca="false">營收與EPS!L10</f>
        <v>0.45</v>
      </c>
      <c r="AA10" s="12" t="n">
        <f aca="false">(I10-(-4.47/100))*100*0.2+(J10-(2.01/100))*100*0.3+(K10-(5.3/100))*100*0.5</f>
        <v>33.8762336225958</v>
      </c>
      <c r="AB10" s="13" t="n">
        <v>0</v>
      </c>
      <c r="AC10" s="12" t="n">
        <f aca="false">AA10+AB10</f>
        <v>33.8762336225958</v>
      </c>
      <c r="AD10" s="4" t="s">
        <v>88</v>
      </c>
      <c r="AE10" s="3" t="s">
        <v>89</v>
      </c>
      <c r="AF10" s="4" t="s">
        <v>90</v>
      </c>
    </row>
    <row r="11" customFormat="false" ht="48.5" hidden="false" customHeight="false" outlineLevel="0" collapsed="false">
      <c r="A11" s="3" t="n">
        <v>10</v>
      </c>
      <c r="B11" s="3" t="s">
        <v>91</v>
      </c>
      <c r="C11" s="4" t="s">
        <v>92</v>
      </c>
      <c r="D11" s="4" t="s">
        <v>34</v>
      </c>
      <c r="E11" s="4" t="s">
        <v>93</v>
      </c>
      <c r="F11" s="5" t="s">
        <v>36</v>
      </c>
      <c r="G11" s="4" t="s">
        <v>94</v>
      </c>
      <c r="H11" s="6" t="n">
        <v>265.5</v>
      </c>
      <c r="I11" s="7" t="n">
        <v>0.141935483870968</v>
      </c>
      <c r="J11" s="7" t="n">
        <v>0.132196162046908</v>
      </c>
      <c r="K11" s="7" t="n">
        <v>0.365038560411311</v>
      </c>
      <c r="L11" s="6" t="n">
        <v>270.5</v>
      </c>
      <c r="M11" s="8" t="n">
        <f aca="false">H11/L11-1</f>
        <v>-0.0184842883548984</v>
      </c>
      <c r="N11" s="6" t="n">
        <v>243.61</v>
      </c>
      <c r="O11" s="8" t="n">
        <f aca="false">H11/N11-1</f>
        <v>0.0898567382291367</v>
      </c>
      <c r="P11" s="6" t="n">
        <v>228.17</v>
      </c>
      <c r="Q11" s="8" t="n">
        <f aca="false">H11/P11-1</f>
        <v>0.163606083183591</v>
      </c>
      <c r="R11" s="9" t="n">
        <v>30933</v>
      </c>
      <c r="S11" s="9" t="n">
        <v>13048</v>
      </c>
      <c r="T11" s="9" t="n">
        <v>17645</v>
      </c>
      <c r="U11" s="10" t="n">
        <v>28867</v>
      </c>
      <c r="V11" s="10" t="n">
        <v>10695</v>
      </c>
      <c r="W11" s="7" t="n">
        <v>0.255788357088319</v>
      </c>
      <c r="X11" s="8" t="n">
        <f aca="false">營收與EPS!I11</f>
        <v>0.514396371361305</v>
      </c>
      <c r="Y11" s="11" t="n">
        <f aca="false">營收與EPS!K11</f>
        <v>7.41</v>
      </c>
      <c r="Z11" s="11" t="n">
        <f aca="false">營收與EPS!L11</f>
        <v>5.06</v>
      </c>
      <c r="AA11" s="12" t="n">
        <f aca="false">(I11-(-4.47/100))*100*0.2+(J11-(2.01/100))*100*0.3+(K11-(5.3/100))*100*0.5</f>
        <v>22.6975225593922</v>
      </c>
      <c r="AB11" s="13" t="n">
        <v>10</v>
      </c>
      <c r="AC11" s="12" t="n">
        <f aca="false">AA11+AB11</f>
        <v>32.6975225593922</v>
      </c>
      <c r="AD11" s="4" t="s">
        <v>95</v>
      </c>
      <c r="AE11" s="3" t="s">
        <v>96</v>
      </c>
      <c r="AF11" s="4" t="s">
        <v>97</v>
      </c>
    </row>
    <row r="13" customFormat="false" ht="15" hidden="false" customHeight="false" outlineLevel="0" collapsed="false">
      <c r="A13" s="15" t="s">
        <v>98</v>
      </c>
    </row>
    <row r="14" customFormat="false" ht="15" hidden="false" customHeight="false" outlineLevel="0" collapsed="false">
      <c r="A14" s="1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8" min="3" style="0" width="13"/>
    <col collapsed="false" customWidth="true" hidden="false" outlineLevel="0" max="10" min="9" style="0" width="11"/>
    <col collapsed="false" customWidth="true" hidden="false" outlineLevel="0" max="14" min="11" style="0" width="9"/>
    <col collapsed="false" customWidth="true" hidden="false" outlineLevel="0" max="15" min="15" style="0" width="60"/>
  </cols>
  <sheetData>
    <row r="1" customFormat="false" ht="17.15" hidden="false" customHeight="false" outlineLevel="0" collapsed="false">
      <c r="A1" s="17" t="s">
        <v>1</v>
      </c>
      <c r="B1" s="17" t="s">
        <v>2</v>
      </c>
      <c r="C1" s="0" t="s">
        <v>100</v>
      </c>
      <c r="D1" s="17" t="s">
        <v>101</v>
      </c>
      <c r="E1" s="0" t="s">
        <v>102</v>
      </c>
      <c r="F1" s="17" t="s">
        <v>103</v>
      </c>
      <c r="G1" s="0" t="s">
        <v>104</v>
      </c>
      <c r="H1" s="17" t="s">
        <v>105</v>
      </c>
      <c r="I1" s="17" t="s">
        <v>106</v>
      </c>
      <c r="J1" s="0" t="s">
        <v>107</v>
      </c>
      <c r="K1" s="0" t="s">
        <v>24</v>
      </c>
      <c r="L1" s="0" t="s">
        <v>25</v>
      </c>
      <c r="M1" s="0" t="s">
        <v>108</v>
      </c>
      <c r="N1" s="0" t="s">
        <v>109</v>
      </c>
      <c r="O1" s="17" t="s">
        <v>110</v>
      </c>
    </row>
    <row r="2" customFormat="false" ht="15" hidden="false" customHeight="false" outlineLevel="0" collapsed="false">
      <c r="A2" s="18" t="s">
        <v>32</v>
      </c>
      <c r="B2" s="19" t="s">
        <v>33</v>
      </c>
      <c r="C2" s="20" t="n">
        <v>74820784</v>
      </c>
      <c r="D2" s="20" t="n">
        <v>56534424</v>
      </c>
      <c r="E2" s="20" t="n">
        <v>81905672</v>
      </c>
      <c r="F2" s="20" t="n">
        <v>54499632</v>
      </c>
      <c r="G2" s="20" t="n">
        <v>86928034</v>
      </c>
      <c r="H2" s="20" t="n">
        <v>52495202</v>
      </c>
      <c r="I2" s="21" t="n">
        <f aca="false">(C2+E2+G2)/(D2+F2+H2)-1</f>
        <v>0.489974901005177</v>
      </c>
      <c r="J2" s="21" t="n">
        <f aca="false">G2/H2-1</f>
        <v>0.655923411819617</v>
      </c>
      <c r="K2" s="22" t="n">
        <v>2.18</v>
      </c>
      <c r="L2" s="22" t="n">
        <v>-0.79</v>
      </c>
      <c r="M2" s="22" t="n">
        <v>2.14</v>
      </c>
      <c r="N2" s="22" t="n">
        <v>0.39</v>
      </c>
      <c r="O2" s="22"/>
    </row>
    <row r="3" customFormat="false" ht="15" hidden="false" customHeight="false" outlineLevel="0" collapsed="false">
      <c r="A3" s="18" t="s">
        <v>40</v>
      </c>
      <c r="B3" s="19" t="s">
        <v>41</v>
      </c>
      <c r="C3" s="20" t="n">
        <v>4667997</v>
      </c>
      <c r="D3" s="20" t="n">
        <v>4161114</v>
      </c>
      <c r="E3" s="20" t="n">
        <v>4628384</v>
      </c>
      <c r="F3" s="20" t="n">
        <v>4174612</v>
      </c>
      <c r="G3" s="20" t="n">
        <v>5162030</v>
      </c>
      <c r="H3" s="20" t="n">
        <v>4452405</v>
      </c>
      <c r="I3" s="21" t="n">
        <f aca="false">(C3+E3+G3)/(D3+F3+H3)-1</f>
        <v>0.130611736773732</v>
      </c>
      <c r="J3" s="21" t="n">
        <f aca="false">G3/H3-1</f>
        <v>0.159380155219482</v>
      </c>
      <c r="K3" s="22" t="n">
        <v>2.76</v>
      </c>
      <c r="L3" s="22" t="n">
        <v>1.64</v>
      </c>
      <c r="M3" s="22" t="n">
        <v>2.17</v>
      </c>
      <c r="N3" s="22" t="n">
        <v>2.88</v>
      </c>
      <c r="O3" s="22"/>
    </row>
    <row r="4" customFormat="false" ht="15" hidden="false" customHeight="false" outlineLevel="0" collapsed="false">
      <c r="A4" s="18" t="s">
        <v>46</v>
      </c>
      <c r="B4" s="19" t="s">
        <v>47</v>
      </c>
      <c r="C4" s="20" t="n">
        <v>421419</v>
      </c>
      <c r="D4" s="20" t="n">
        <v>395506</v>
      </c>
      <c r="E4" s="20" t="n">
        <v>401868</v>
      </c>
      <c r="F4" s="20" t="n">
        <v>388792</v>
      </c>
      <c r="G4" s="20" t="n">
        <v>399822</v>
      </c>
      <c r="H4" s="20" t="n">
        <v>358673</v>
      </c>
      <c r="I4" s="21" t="n">
        <f aca="false">(C4+E4+G4)/(D4+F4+H4)-1</f>
        <v>0.0701137649161703</v>
      </c>
      <c r="J4" s="21" t="n">
        <f aca="false">G4/H4-1</f>
        <v>0.11472566934227</v>
      </c>
      <c r="K4" s="22" t="n">
        <v>2.09</v>
      </c>
      <c r="L4" s="22" t="n">
        <v>0.66</v>
      </c>
      <c r="M4" s="22" t="n">
        <v>1.76</v>
      </c>
      <c r="N4" s="22" t="n">
        <v>1.54</v>
      </c>
      <c r="O4" s="22"/>
    </row>
    <row r="5" customFormat="false" ht="15" hidden="false" customHeight="false" outlineLevel="0" collapsed="false">
      <c r="A5" s="18" t="s">
        <v>54</v>
      </c>
      <c r="B5" s="19" t="s">
        <v>55</v>
      </c>
      <c r="C5" s="20" t="n">
        <v>207224</v>
      </c>
      <c r="D5" s="20" t="n">
        <v>241532</v>
      </c>
      <c r="E5" s="20" t="n">
        <v>208971</v>
      </c>
      <c r="F5" s="20" t="n">
        <v>279673</v>
      </c>
      <c r="G5" s="20" t="n">
        <v>400981</v>
      </c>
      <c r="H5" s="20" t="n">
        <v>288245</v>
      </c>
      <c r="I5" s="21" t="n">
        <f aca="false">(C5+E5+G5)/(D5+F5+H5)-1</f>
        <v>0.0095447526097967</v>
      </c>
      <c r="J5" s="21" t="n">
        <f aca="false">G5/H5-1</f>
        <v>0.391111727870388</v>
      </c>
      <c r="K5" s="22" t="n">
        <v>-0.94</v>
      </c>
      <c r="L5" s="22" t="n">
        <v>-2.28</v>
      </c>
      <c r="M5" s="22" t="n">
        <v>-0.73</v>
      </c>
      <c r="N5" s="22" t="n">
        <v>-1.33</v>
      </c>
      <c r="O5" s="22"/>
    </row>
    <row r="6" customFormat="false" ht="17.15" hidden="false" customHeight="false" outlineLevel="0" collapsed="false">
      <c r="A6" s="18" t="s">
        <v>61</v>
      </c>
      <c r="B6" s="19" t="s">
        <v>62</v>
      </c>
      <c r="C6" s="20" t="n">
        <v>5143796</v>
      </c>
      <c r="D6" s="20" t="n">
        <v>1332030</v>
      </c>
      <c r="E6" s="20" t="n">
        <v>2154000</v>
      </c>
      <c r="F6" s="20" t="n">
        <v>2118828</v>
      </c>
      <c r="G6" s="20" t="n">
        <v>4517586</v>
      </c>
      <c r="H6" s="20" t="n">
        <v>3183815</v>
      </c>
      <c r="I6" s="21" t="n">
        <f aca="false">(C6+E6+G6)/(D6+F6+H6)-1</f>
        <v>0.780853705977672</v>
      </c>
      <c r="J6" s="21" t="n">
        <f aca="false">G6/H6-1</f>
        <v>0.418922267782519</v>
      </c>
      <c r="K6" s="22" t="n">
        <v>9.76</v>
      </c>
      <c r="L6" s="22" t="n">
        <v>6.64</v>
      </c>
      <c r="M6" s="22" t="n">
        <v>7.68</v>
      </c>
      <c r="N6" s="22"/>
      <c r="O6" s="22" t="s">
        <v>111</v>
      </c>
    </row>
    <row r="7" customFormat="false" ht="15" hidden="false" customHeight="false" outlineLevel="0" collapsed="false">
      <c r="A7" s="18" t="s">
        <v>66</v>
      </c>
      <c r="B7" s="19" t="s">
        <v>67</v>
      </c>
      <c r="C7" s="20" t="n">
        <v>847235</v>
      </c>
      <c r="D7" s="20" t="n">
        <v>901908</v>
      </c>
      <c r="E7" s="20" t="n">
        <v>806704</v>
      </c>
      <c r="F7" s="20" t="n">
        <v>936162</v>
      </c>
      <c r="G7" s="20" t="n">
        <v>839825</v>
      </c>
      <c r="H7" s="20" t="n">
        <v>1036890</v>
      </c>
      <c r="I7" s="21" t="n">
        <f aca="false">(C7+E7+G7)/(D7+F7+H7)-1</f>
        <v>-0.132591757798369</v>
      </c>
      <c r="J7" s="21" t="n">
        <f aca="false">G7/H7-1</f>
        <v>-0.190053911215269</v>
      </c>
      <c r="K7" s="22" t="n">
        <v>0.91</v>
      </c>
      <c r="L7" s="22" t="n">
        <v>0.13</v>
      </c>
      <c r="M7" s="22" t="n">
        <v>0.65</v>
      </c>
      <c r="N7" s="22" t="n">
        <v>0.32</v>
      </c>
      <c r="O7" s="22"/>
    </row>
    <row r="8" customFormat="false" ht="15" hidden="false" customHeight="false" outlineLevel="0" collapsed="false">
      <c r="A8" s="18" t="s">
        <v>73</v>
      </c>
      <c r="B8" s="19" t="s">
        <v>74</v>
      </c>
      <c r="C8" s="20" t="n">
        <v>854379</v>
      </c>
      <c r="D8" s="20" t="n">
        <v>508238</v>
      </c>
      <c r="E8" s="20" t="n">
        <v>912400</v>
      </c>
      <c r="F8" s="20" t="n">
        <v>509132</v>
      </c>
      <c r="G8" s="20" t="n">
        <v>938542</v>
      </c>
      <c r="H8" s="20" t="n">
        <v>515284</v>
      </c>
      <c r="I8" s="21" t="n">
        <f aca="false">(C8+E8+G8)/(D8+F8+H8)-1</f>
        <v>0.765121808314205</v>
      </c>
      <c r="J8" s="21" t="n">
        <f aca="false">G8/H8-1</f>
        <v>0.821407223977457</v>
      </c>
      <c r="K8" s="22" t="n">
        <v>1.45</v>
      </c>
      <c r="L8" s="22" t="n">
        <v>-0.06</v>
      </c>
      <c r="M8" s="22" t="n">
        <v>0.79</v>
      </c>
      <c r="N8" s="22" t="n">
        <v>0.33</v>
      </c>
      <c r="O8" s="22"/>
    </row>
    <row r="9" customFormat="false" ht="15" hidden="false" customHeight="false" outlineLevel="0" collapsed="false">
      <c r="A9" s="18" t="s">
        <v>79</v>
      </c>
      <c r="B9" s="19" t="s">
        <v>80</v>
      </c>
      <c r="C9" s="20" t="n">
        <v>2045178</v>
      </c>
      <c r="D9" s="20" t="n">
        <v>1967149</v>
      </c>
      <c r="E9" s="20" t="n">
        <v>1997131</v>
      </c>
      <c r="F9" s="20" t="n">
        <v>1970931</v>
      </c>
      <c r="G9" s="20" t="n">
        <v>2099160</v>
      </c>
      <c r="H9" s="20" t="n">
        <v>2157341</v>
      </c>
      <c r="I9" s="21" t="n">
        <f aca="false">(C9+E9+G9)/(D9+F9+H9)-1</f>
        <v>0.00755452330528117</v>
      </c>
      <c r="J9" s="21" t="n">
        <f aca="false">G9/H9-1</f>
        <v>-0.0269688472985958</v>
      </c>
      <c r="K9" s="22" t="n">
        <v>-1.68</v>
      </c>
      <c r="L9" s="22" t="n">
        <v>-1.41</v>
      </c>
      <c r="M9" s="22" t="n">
        <v>-2.6</v>
      </c>
      <c r="N9" s="22" t="n">
        <v>-1.76</v>
      </c>
      <c r="O9" s="22"/>
    </row>
    <row r="10" customFormat="false" ht="15" hidden="false" customHeight="false" outlineLevel="0" collapsed="false">
      <c r="A10" s="18" t="s">
        <v>85</v>
      </c>
      <c r="B10" s="19" t="s">
        <v>86</v>
      </c>
      <c r="C10" s="20" t="n">
        <v>154589</v>
      </c>
      <c r="D10" s="20" t="n">
        <v>125326</v>
      </c>
      <c r="E10" s="20" t="n">
        <v>164842</v>
      </c>
      <c r="F10" s="20" t="n">
        <v>77384</v>
      </c>
      <c r="G10" s="20" t="n">
        <v>147649</v>
      </c>
      <c r="H10" s="20" t="n">
        <v>104758</v>
      </c>
      <c r="I10" s="21" t="n">
        <f aca="false">(C10+E10+G10)/(D10+F10+H10)-1</f>
        <v>0.51911743661129</v>
      </c>
      <c r="J10" s="21" t="n">
        <f aca="false">G10/H10-1</f>
        <v>0.409429351457645</v>
      </c>
      <c r="K10" s="22" t="n">
        <v>-0.12</v>
      </c>
      <c r="L10" s="22" t="n">
        <v>0.45</v>
      </c>
      <c r="M10" s="22" t="n">
        <v>1.02</v>
      </c>
      <c r="N10" s="22" t="n">
        <v>0.69</v>
      </c>
      <c r="O10" s="22"/>
    </row>
    <row r="11" customFormat="false" ht="15" hidden="false" customHeight="false" outlineLevel="0" collapsed="false">
      <c r="A11" s="18" t="s">
        <v>91</v>
      </c>
      <c r="B11" s="19" t="s">
        <v>92</v>
      </c>
      <c r="C11" s="20" t="n">
        <v>48079100</v>
      </c>
      <c r="D11" s="20" t="n">
        <v>33605172</v>
      </c>
      <c r="E11" s="20" t="n">
        <v>48985696</v>
      </c>
      <c r="F11" s="20" t="n">
        <v>32956840</v>
      </c>
      <c r="G11" s="20" t="n">
        <v>49711309</v>
      </c>
      <c r="H11" s="20" t="n">
        <v>30358522</v>
      </c>
      <c r="I11" s="21" t="n">
        <f aca="false">(C11+E11+G11)/(D11+F11+H11)-1</f>
        <v>0.514396371361305</v>
      </c>
      <c r="J11" s="21" t="n">
        <f aca="false">G11/H11-1</f>
        <v>0.637474610918147</v>
      </c>
      <c r="K11" s="22" t="n">
        <v>7.41</v>
      </c>
      <c r="L11" s="22" t="n">
        <v>5.06</v>
      </c>
      <c r="M11" s="22" t="n">
        <v>3.84</v>
      </c>
      <c r="N11" s="22" t="n">
        <v>12.64</v>
      </c>
      <c r="O11" s="22"/>
    </row>
    <row r="13" customFormat="false" ht="17.15" hidden="false" customHeight="false" outlineLevel="0" collapsed="false">
      <c r="A13" s="1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7" min="5" style="0" width="8"/>
    <col collapsed="false" customWidth="true" hidden="false" outlineLevel="0" max="10" min="8" style="0" width="10"/>
    <col collapsed="false" customWidth="true" hidden="false" outlineLevel="0" max="11" min="11" style="0" width="7"/>
    <col collapsed="false" customWidth="true" hidden="false" outlineLevel="0" max="12" min="12" style="0" width="24"/>
  </cols>
  <sheetData>
    <row r="1" customFormat="false" ht="32.8" hidden="false" customHeight="false" outlineLevel="0" collapsed="false">
      <c r="A1" s="23" t="s">
        <v>0</v>
      </c>
      <c r="B1" s="23" t="s">
        <v>1</v>
      </c>
      <c r="C1" s="23" t="s">
        <v>2</v>
      </c>
      <c r="D1" s="23" t="s">
        <v>4</v>
      </c>
      <c r="E1" s="23" t="s">
        <v>113</v>
      </c>
      <c r="F1" s="23" t="s">
        <v>114</v>
      </c>
      <c r="G1" s="23" t="s">
        <v>115</v>
      </c>
      <c r="H1" s="23" t="s">
        <v>12</v>
      </c>
      <c r="I1" s="23" t="s">
        <v>22</v>
      </c>
      <c r="J1" s="24" t="s">
        <v>116</v>
      </c>
      <c r="K1" s="23" t="s">
        <v>28</v>
      </c>
      <c r="L1" s="23" t="s">
        <v>6</v>
      </c>
    </row>
    <row r="2" customFormat="false" ht="15" hidden="false" customHeight="false" outlineLevel="0" collapsed="false">
      <c r="A2" s="22" t="n">
        <v>11</v>
      </c>
      <c r="B2" s="22" t="s">
        <v>117</v>
      </c>
      <c r="C2" s="25" t="s">
        <v>118</v>
      </c>
      <c r="D2" s="25" t="s">
        <v>119</v>
      </c>
      <c r="E2" s="26" t="n">
        <v>0.0922222222222222</v>
      </c>
      <c r="F2" s="26" t="n">
        <v>0.0615550755939525</v>
      </c>
      <c r="G2" s="26" t="n">
        <v>0.42463768115942</v>
      </c>
      <c r="H2" s="26" t="n">
        <v>-0.0160160160160161</v>
      </c>
      <c r="I2" s="26" t="n">
        <v>0.264450297839589</v>
      </c>
      <c r="J2" s="26" t="n">
        <v>0.0718439564566204</v>
      </c>
      <c r="K2" s="22" t="n">
        <v>32.6</v>
      </c>
      <c r="L2" s="25" t="s">
        <v>94</v>
      </c>
    </row>
    <row r="3" customFormat="false" ht="15" hidden="false" customHeight="false" outlineLevel="0" collapsed="false">
      <c r="A3" s="22" t="n">
        <v>12</v>
      </c>
      <c r="B3" s="22" t="s">
        <v>120</v>
      </c>
      <c r="C3" s="25" t="s">
        <v>121</v>
      </c>
      <c r="D3" s="25" t="s">
        <v>93</v>
      </c>
      <c r="E3" s="26" t="n">
        <v>0.0986547085201794</v>
      </c>
      <c r="F3" s="26" t="n">
        <v>0.09375</v>
      </c>
      <c r="G3" s="26" t="n">
        <v>0.542821158690176</v>
      </c>
      <c r="H3" s="26" t="n">
        <v>-0.0892193308550185</v>
      </c>
      <c r="I3" s="26" t="n">
        <v>0.00676378912410498</v>
      </c>
      <c r="J3" s="26" t="n">
        <v>0.976272252761016</v>
      </c>
      <c r="K3" s="22" t="n">
        <v>29.6</v>
      </c>
      <c r="L3" s="22"/>
    </row>
    <row r="4" customFormat="false" ht="15" hidden="false" customHeight="false" outlineLevel="0" collapsed="false">
      <c r="A4" s="22" t="n">
        <v>13</v>
      </c>
      <c r="B4" s="22" t="s">
        <v>122</v>
      </c>
      <c r="C4" s="25" t="s">
        <v>123</v>
      </c>
      <c r="D4" s="25" t="s">
        <v>93</v>
      </c>
      <c r="E4" s="26" t="n">
        <v>0.0837520938023451</v>
      </c>
      <c r="F4" s="26" t="n">
        <v>0.0892255892255893</v>
      </c>
      <c r="G4" s="26" t="n">
        <v>0.347916666666667</v>
      </c>
      <c r="H4" s="26" t="n">
        <v>-0.0743919885550787</v>
      </c>
      <c r="I4" s="26" t="n">
        <v>0.268605633439848</v>
      </c>
      <c r="J4" s="26" t="n">
        <v>0.699353918153569</v>
      </c>
      <c r="K4" s="22" t="n">
        <v>29.4</v>
      </c>
      <c r="L4" s="25" t="s">
        <v>94</v>
      </c>
    </row>
    <row r="5" customFormat="false" ht="17.15" hidden="false" customHeight="false" outlineLevel="0" collapsed="false">
      <c r="A5" s="22" t="n">
        <v>14</v>
      </c>
      <c r="B5" s="22" t="s">
        <v>124</v>
      </c>
      <c r="C5" s="25" t="s">
        <v>125</v>
      </c>
      <c r="D5" s="25" t="s">
        <v>68</v>
      </c>
      <c r="E5" s="26" t="n">
        <v>0.033210332103321</v>
      </c>
      <c r="F5" s="26" t="n">
        <v>0.355932203389831</v>
      </c>
      <c r="G5" s="26" t="n">
        <v>0.396508728179551</v>
      </c>
      <c r="H5" s="26" t="n">
        <v>-0.150227617602428</v>
      </c>
      <c r="I5" s="26" t="n">
        <v>0.0768065072049192</v>
      </c>
      <c r="J5" s="26" t="n">
        <v>0.728286185565154</v>
      </c>
      <c r="K5" s="22" t="n">
        <v>28.8</v>
      </c>
      <c r="L5" s="22"/>
    </row>
    <row r="6" customFormat="false" ht="15" hidden="false" customHeight="false" outlineLevel="0" collapsed="false">
      <c r="A6" s="22" t="n">
        <v>15</v>
      </c>
      <c r="B6" s="22" t="s">
        <v>126</v>
      </c>
      <c r="C6" s="25" t="s">
        <v>127</v>
      </c>
      <c r="D6" s="25" t="s">
        <v>128</v>
      </c>
      <c r="E6" s="26" t="n">
        <v>0.054922279792746</v>
      </c>
      <c r="F6" s="26" t="n">
        <v>0.0946236559139784</v>
      </c>
      <c r="G6" s="26" t="n">
        <v>0.301790281329923</v>
      </c>
      <c r="H6" s="26" t="n">
        <v>-0.0267686424474187</v>
      </c>
      <c r="I6" s="26" t="n">
        <v>0.408292972552048</v>
      </c>
      <c r="J6" s="26" t="n">
        <v>0.410711767921027</v>
      </c>
      <c r="K6" s="22" t="n">
        <v>26.7</v>
      </c>
      <c r="L6" s="25" t="s">
        <v>94</v>
      </c>
    </row>
    <row r="7" customFormat="false" ht="15" hidden="false" customHeight="false" outlineLevel="0" collapsed="false">
      <c r="A7" s="22" t="n">
        <v>16</v>
      </c>
      <c r="B7" s="22" t="s">
        <v>129</v>
      </c>
      <c r="C7" s="25" t="s">
        <v>130</v>
      </c>
      <c r="D7" s="25" t="s">
        <v>42</v>
      </c>
      <c r="E7" s="26" t="n">
        <v>0.11542730299667</v>
      </c>
      <c r="F7" s="26" t="n">
        <v>0.25625</v>
      </c>
      <c r="G7" s="26" t="n">
        <v>0.280254777070064</v>
      </c>
      <c r="H7" s="26" t="n">
        <v>-0.0382775119617225</v>
      </c>
      <c r="I7" s="26" t="n">
        <v>0.0916873137833468</v>
      </c>
      <c r="J7" s="26" t="n">
        <v>0.815725669603465</v>
      </c>
      <c r="K7" s="22" t="n">
        <v>26.6</v>
      </c>
      <c r="L7" s="25" t="s">
        <v>75</v>
      </c>
    </row>
    <row r="8" customFormat="false" ht="15" hidden="false" customHeight="false" outlineLevel="0" collapsed="false">
      <c r="A8" s="22" t="n">
        <v>17</v>
      </c>
      <c r="B8" s="22" t="s">
        <v>131</v>
      </c>
      <c r="C8" s="25" t="s">
        <v>132</v>
      </c>
      <c r="D8" s="25" t="s">
        <v>133</v>
      </c>
      <c r="E8" s="26" t="n">
        <v>0.133333333333333</v>
      </c>
      <c r="F8" s="26" t="n">
        <v>0.187301587301587</v>
      </c>
      <c r="G8" s="26" t="n">
        <v>0.179810725552051</v>
      </c>
      <c r="H8" s="26" t="n">
        <v>-0.050761421319797</v>
      </c>
      <c r="I8" s="26" t="n">
        <v>0.242659950622817</v>
      </c>
      <c r="J8" s="26" t="n">
        <v>0.504528571054428</v>
      </c>
      <c r="K8" s="22" t="n">
        <v>24.9</v>
      </c>
      <c r="L8" s="25" t="s">
        <v>94</v>
      </c>
    </row>
    <row r="9" customFormat="false" ht="15" hidden="false" customHeight="false" outlineLevel="0" collapsed="false">
      <c r="A9" s="22" t="n">
        <v>18</v>
      </c>
      <c r="B9" s="22" t="s">
        <v>134</v>
      </c>
      <c r="C9" s="25" t="s">
        <v>135</v>
      </c>
      <c r="D9" s="25" t="s">
        <v>119</v>
      </c>
      <c r="E9" s="26" t="n">
        <v>0.0229405630865485</v>
      </c>
      <c r="F9" s="26" t="n">
        <v>0.0402969247083775</v>
      </c>
      <c r="G9" s="26" t="n">
        <v>0.302788844621514</v>
      </c>
      <c r="H9" s="26" t="n">
        <v>-0.0797373358348968</v>
      </c>
      <c r="I9" s="26" t="n">
        <v>0.239990791660925</v>
      </c>
      <c r="J9" s="26" t="n">
        <v>-0.149405771455086</v>
      </c>
      <c r="K9" s="22" t="n">
        <v>24.4</v>
      </c>
      <c r="L9" s="25" t="s">
        <v>94</v>
      </c>
    </row>
    <row r="10" customFormat="false" ht="15" hidden="false" customHeight="false" outlineLevel="0" collapsed="false">
      <c r="A10" s="22" t="n">
        <v>19</v>
      </c>
      <c r="B10" s="22" t="s">
        <v>136</v>
      </c>
      <c r="C10" s="25" t="s">
        <v>137</v>
      </c>
      <c r="D10" s="25" t="s">
        <v>49</v>
      </c>
      <c r="E10" s="26" t="n">
        <v>0.0674157303370786</v>
      </c>
      <c r="F10" s="26" t="n">
        <v>0.117647058823529</v>
      </c>
      <c r="G10" s="26" t="n">
        <v>0.134328358208955</v>
      </c>
      <c r="H10" s="26" t="n">
        <v>-0.0306122448979592</v>
      </c>
      <c r="I10" s="26" t="n">
        <v>0.289026689850456</v>
      </c>
      <c r="J10" s="26" t="n">
        <v>0.569516565546808</v>
      </c>
      <c r="K10" s="22" t="n">
        <v>24.2</v>
      </c>
      <c r="L10" s="25" t="s">
        <v>138</v>
      </c>
    </row>
    <row r="11" customFormat="false" ht="15" hidden="false" customHeight="false" outlineLevel="0" collapsed="false">
      <c r="A11" s="22" t="n">
        <v>20</v>
      </c>
      <c r="B11" s="22" t="s">
        <v>139</v>
      </c>
      <c r="C11" s="25" t="s">
        <v>140</v>
      </c>
      <c r="D11" s="25" t="s">
        <v>119</v>
      </c>
      <c r="E11" s="26" t="n">
        <v>0.0936555891238671</v>
      </c>
      <c r="F11" s="26" t="n">
        <v>0.116135662898253</v>
      </c>
      <c r="G11" s="26" t="n">
        <v>0.214765100671141</v>
      </c>
      <c r="H11" s="26" t="n">
        <v>-0.00912408759124084</v>
      </c>
      <c r="I11" s="26" t="n">
        <v>0.455684470248235</v>
      </c>
      <c r="J11" s="26" t="n">
        <v>0.106968845195342</v>
      </c>
      <c r="K11" s="22" t="n">
        <v>23.7</v>
      </c>
      <c r="L11" s="25" t="s">
        <v>94</v>
      </c>
    </row>
    <row r="12" customFormat="false" ht="15" hidden="false" customHeight="false" outlineLevel="0" collapsed="false">
      <c r="A12" s="22" t="n">
        <v>21</v>
      </c>
      <c r="B12" s="22" t="s">
        <v>141</v>
      </c>
      <c r="C12" s="25" t="s">
        <v>142</v>
      </c>
      <c r="D12" s="25" t="s">
        <v>68</v>
      </c>
      <c r="E12" s="26" t="n">
        <v>0.056047197640118</v>
      </c>
      <c r="F12" s="26" t="n">
        <v>0.442094662638469</v>
      </c>
      <c r="G12" s="26" t="n">
        <v>0.221843003412969</v>
      </c>
      <c r="H12" s="26" t="n">
        <v>-0.151658767772512</v>
      </c>
      <c r="I12" s="26" t="n">
        <v>0.0317215670021354</v>
      </c>
      <c r="J12" s="26" t="n">
        <v>0.178738670452283</v>
      </c>
      <c r="K12" s="22" t="n">
        <v>23.1</v>
      </c>
      <c r="L12" s="22"/>
    </row>
    <row r="13" customFormat="false" ht="15" hidden="false" customHeight="false" outlineLevel="0" collapsed="false">
      <c r="A13" s="22" t="n">
        <v>22</v>
      </c>
      <c r="B13" s="22" t="s">
        <v>143</v>
      </c>
      <c r="C13" s="25" t="s">
        <v>144</v>
      </c>
      <c r="D13" s="25" t="s">
        <v>119</v>
      </c>
      <c r="E13" s="26" t="n">
        <v>0.0737386804657181</v>
      </c>
      <c r="F13" s="26" t="n">
        <v>0.0668380462724936</v>
      </c>
      <c r="G13" s="26" t="n">
        <v>0.236959761549926</v>
      </c>
      <c r="H13" s="26" t="n">
        <v>-0.0142517814726841</v>
      </c>
      <c r="I13" s="26" t="n">
        <v>0.261174283962188</v>
      </c>
      <c r="J13" s="26" t="n">
        <v>-0.0128153351734111</v>
      </c>
      <c r="K13" s="22" t="n">
        <v>23</v>
      </c>
      <c r="L13" s="25" t="s">
        <v>94</v>
      </c>
    </row>
    <row r="14" customFormat="false" ht="15" hidden="false" customHeight="false" outlineLevel="0" collapsed="false">
      <c r="A14" s="22" t="n">
        <v>23</v>
      </c>
      <c r="B14" s="22" t="s">
        <v>145</v>
      </c>
      <c r="C14" s="25" t="s">
        <v>146</v>
      </c>
      <c r="D14" s="25" t="s">
        <v>49</v>
      </c>
      <c r="E14" s="26" t="n">
        <v>0.0866290018832392</v>
      </c>
      <c r="F14" s="26" t="n">
        <v>0.0548446069469835</v>
      </c>
      <c r="G14" s="26" t="n">
        <v>0.232905982905983</v>
      </c>
      <c r="H14" s="26" t="n">
        <v>-0.0478547854785478</v>
      </c>
      <c r="I14" s="26" t="n">
        <v>0.31369006013824</v>
      </c>
      <c r="J14" s="26" t="n">
        <v>0.24993552419404</v>
      </c>
      <c r="K14" s="22" t="n">
        <v>22.7</v>
      </c>
      <c r="L14" s="25" t="s">
        <v>94</v>
      </c>
    </row>
    <row r="15" customFormat="false" ht="15" hidden="false" customHeight="false" outlineLevel="0" collapsed="false">
      <c r="A15" s="22" t="n">
        <v>24</v>
      </c>
      <c r="B15" s="22" t="s">
        <v>147</v>
      </c>
      <c r="C15" s="25" t="s">
        <v>148</v>
      </c>
      <c r="D15" s="25" t="s">
        <v>49</v>
      </c>
      <c r="E15" s="26" t="n">
        <v>-0.0754098360655737</v>
      </c>
      <c r="F15" s="26" t="n">
        <v>0.128</v>
      </c>
      <c r="G15" s="26" t="n">
        <v>0.431472081218274</v>
      </c>
      <c r="H15" s="26" t="n">
        <v>-0.160714285714286</v>
      </c>
      <c r="I15" s="26" t="n">
        <v>0.0306185695062623</v>
      </c>
      <c r="J15" s="26" t="n">
        <v>1.09237574999053</v>
      </c>
      <c r="K15" s="22" t="n">
        <v>21.5</v>
      </c>
      <c r="L15" s="22"/>
    </row>
    <row r="16" customFormat="false" ht="15" hidden="false" customHeight="false" outlineLevel="0" collapsed="false">
      <c r="A16" s="22" t="n">
        <v>25</v>
      </c>
      <c r="B16" s="22" t="s">
        <v>149</v>
      </c>
      <c r="C16" s="25" t="s">
        <v>150</v>
      </c>
      <c r="D16" s="25" t="s">
        <v>151</v>
      </c>
      <c r="E16" s="26" t="n">
        <v>0</v>
      </c>
      <c r="F16" s="26" t="n">
        <v>0.274154589371981</v>
      </c>
      <c r="G16" s="26" t="n">
        <v>0.21264367816092</v>
      </c>
      <c r="H16" s="26" t="n">
        <v>-0.0321100917431193</v>
      </c>
      <c r="I16" s="26" t="n">
        <v>0.0537439548744132</v>
      </c>
      <c r="J16" s="26" t="n">
        <v>1.72332549720446</v>
      </c>
      <c r="K16" s="22" t="n">
        <v>21.5</v>
      </c>
      <c r="L16" s="25" t="s">
        <v>75</v>
      </c>
    </row>
    <row r="17" customFormat="false" ht="15" hidden="false" customHeight="false" outlineLevel="0" collapsed="false">
      <c r="A17" s="22" t="n">
        <v>26</v>
      </c>
      <c r="B17" s="22" t="s">
        <v>152</v>
      </c>
      <c r="C17" s="25" t="s">
        <v>153</v>
      </c>
      <c r="D17" s="25" t="s">
        <v>68</v>
      </c>
      <c r="E17" s="26" t="n">
        <v>0.00343642611683848</v>
      </c>
      <c r="F17" s="26" t="n">
        <v>0.149606299212598</v>
      </c>
      <c r="G17" s="26" t="n">
        <v>0.38552787663108</v>
      </c>
      <c r="H17" s="26" t="n">
        <v>-0.0331125827814569</v>
      </c>
      <c r="I17" s="26" t="n">
        <v>0.103557222261013</v>
      </c>
      <c r="J17" s="26" t="n">
        <v>0.53500059681732</v>
      </c>
      <c r="K17" s="22" t="n">
        <v>21.5</v>
      </c>
      <c r="L17" s="22"/>
    </row>
    <row r="18" customFormat="false" ht="15" hidden="false" customHeight="false" outlineLevel="0" collapsed="false">
      <c r="A18" s="22" t="n">
        <v>27</v>
      </c>
      <c r="B18" s="22" t="s">
        <v>154</v>
      </c>
      <c r="C18" s="25" t="s">
        <v>155</v>
      </c>
      <c r="D18" s="25" t="s">
        <v>133</v>
      </c>
      <c r="E18" s="26" t="n">
        <v>-0.0551948051948052</v>
      </c>
      <c r="F18" s="26" t="n">
        <v>0.316742081447964</v>
      </c>
      <c r="G18" s="26" t="n">
        <v>0.307865168539326</v>
      </c>
      <c r="H18" s="26" t="n">
        <v>-0.173295454545455</v>
      </c>
      <c r="I18" s="26" t="n">
        <v>0.0345110969387755</v>
      </c>
      <c r="J18" s="26" t="n">
        <v>2.8793994456152</v>
      </c>
      <c r="K18" s="22" t="n">
        <v>21.4</v>
      </c>
      <c r="L18" s="22"/>
    </row>
    <row r="19" customFormat="false" ht="15" hidden="false" customHeight="false" outlineLevel="0" collapsed="false">
      <c r="A19" s="22" t="n">
        <v>28</v>
      </c>
      <c r="B19" s="22" t="s">
        <v>156</v>
      </c>
      <c r="C19" s="25" t="s">
        <v>157</v>
      </c>
      <c r="D19" s="25" t="s">
        <v>158</v>
      </c>
      <c r="E19" s="26" t="n">
        <v>0.070754716981132</v>
      </c>
      <c r="F19" s="26" t="n">
        <v>0.0758293838862558</v>
      </c>
      <c r="G19" s="26" t="n">
        <v>0.19348054679285</v>
      </c>
      <c r="H19" s="26" t="n">
        <v>-0.00438596491228072</v>
      </c>
      <c r="I19" s="26" t="n">
        <v>0.332123843505891</v>
      </c>
      <c r="J19" s="26" t="n">
        <v>0.0870526858064807</v>
      </c>
      <c r="K19" s="22" t="n">
        <v>21</v>
      </c>
      <c r="L19" s="25" t="s">
        <v>94</v>
      </c>
    </row>
    <row r="20" customFormat="false" ht="15" hidden="false" customHeight="false" outlineLevel="0" collapsed="false">
      <c r="A20" s="22" t="n">
        <v>29</v>
      </c>
      <c r="B20" s="22" t="s">
        <v>159</v>
      </c>
      <c r="C20" s="25" t="s">
        <v>160</v>
      </c>
      <c r="D20" s="25" t="s">
        <v>56</v>
      </c>
      <c r="E20" s="26" t="n">
        <v>0.0453074433656957</v>
      </c>
      <c r="F20" s="26" t="n">
        <v>0.0838926174496644</v>
      </c>
      <c r="G20" s="26" t="n">
        <v>0.0986394557823129</v>
      </c>
      <c r="H20" s="26" t="n">
        <v>-0.069164265129683</v>
      </c>
      <c r="I20" s="26" t="n">
        <v>0.338771147165879</v>
      </c>
      <c r="J20" s="26" t="n">
        <v>0.0183284134624852</v>
      </c>
      <c r="K20" s="22" t="n">
        <v>21</v>
      </c>
      <c r="L20" s="25" t="s">
        <v>138</v>
      </c>
    </row>
    <row r="21" customFormat="false" ht="15" hidden="false" customHeight="false" outlineLevel="0" collapsed="false">
      <c r="A21" s="22" t="n">
        <v>30</v>
      </c>
      <c r="B21" s="22" t="s">
        <v>161</v>
      </c>
      <c r="C21" s="25" t="s">
        <v>162</v>
      </c>
      <c r="D21" s="25" t="s">
        <v>158</v>
      </c>
      <c r="E21" s="26" t="n">
        <v>0.0524193548387097</v>
      </c>
      <c r="F21" s="26" t="n">
        <v>0.078512396694215</v>
      </c>
      <c r="G21" s="26" t="n">
        <v>0.197247706422018</v>
      </c>
      <c r="H21" s="26" t="n">
        <v>-0.018796992481203</v>
      </c>
      <c r="I21" s="26" t="n">
        <v>0.296298398035576</v>
      </c>
      <c r="J21" s="26" t="n">
        <v>0.103466261401258</v>
      </c>
      <c r="K21" s="22" t="n">
        <v>20.9</v>
      </c>
      <c r="L21" s="25" t="s">
        <v>94</v>
      </c>
    </row>
    <row r="23" customFormat="false" ht="17.15" hidden="false" customHeight="false" outlineLevel="0" collapsed="false">
      <c r="A23" s="16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  <col collapsed="false" customWidth="true" hidden="false" outlineLevel="0" max="3" min="3" style="0" width="12"/>
  </cols>
  <sheetData>
    <row r="1" customFormat="false" ht="41.75" hidden="false" customHeight="false" outlineLevel="0" collapsed="false">
      <c r="A1" s="27" t="s">
        <v>164</v>
      </c>
      <c r="B1" s="28"/>
      <c r="C1" s="28"/>
    </row>
    <row r="2" customFormat="false" ht="17.15" hidden="false" customHeight="false" outlineLevel="0" collapsed="false">
      <c r="A2" s="29" t="s">
        <v>165</v>
      </c>
      <c r="B2" s="28" t="s">
        <v>166</v>
      </c>
      <c r="C2" s="28"/>
    </row>
    <row r="3" customFormat="false" ht="17.15" hidden="false" customHeight="false" outlineLevel="0" collapsed="false">
      <c r="A3" s="29" t="s">
        <v>167</v>
      </c>
      <c r="B3" s="29" t="s">
        <v>168</v>
      </c>
      <c r="C3" s="28"/>
    </row>
    <row r="4" customFormat="false" ht="15" hidden="false" customHeight="false" outlineLevel="0" collapsed="false">
      <c r="A4" s="28"/>
      <c r="B4" s="28"/>
      <c r="C4" s="28"/>
    </row>
    <row r="5" customFormat="false" ht="17.15" hidden="false" customHeight="false" outlineLevel="0" collapsed="false">
      <c r="A5" s="30" t="s">
        <v>169</v>
      </c>
      <c r="B5" s="30" t="s">
        <v>170</v>
      </c>
      <c r="C5" s="30" t="s">
        <v>171</v>
      </c>
    </row>
    <row r="6" customFormat="false" ht="32.8" hidden="false" customHeight="false" outlineLevel="0" collapsed="false">
      <c r="A6" s="29" t="s">
        <v>172</v>
      </c>
      <c r="B6" s="28"/>
      <c r="C6" s="28" t="s">
        <v>173</v>
      </c>
    </row>
    <row r="7" customFormat="false" ht="17.15" hidden="false" customHeight="false" outlineLevel="0" collapsed="false">
      <c r="A7" s="29" t="s">
        <v>174</v>
      </c>
      <c r="B7" s="28" t="s">
        <v>175</v>
      </c>
      <c r="C7" s="28" t="s">
        <v>176</v>
      </c>
    </row>
    <row r="8" customFormat="false" ht="17.15" hidden="false" customHeight="false" outlineLevel="0" collapsed="false">
      <c r="A8" s="29" t="s">
        <v>177</v>
      </c>
      <c r="B8" s="29" t="s">
        <v>178</v>
      </c>
      <c r="C8" s="28" t="s">
        <v>179</v>
      </c>
    </row>
    <row r="9" customFormat="false" ht="17.15" hidden="false" customHeight="false" outlineLevel="0" collapsed="false">
      <c r="A9" s="29" t="s">
        <v>180</v>
      </c>
      <c r="B9" s="29" t="s">
        <v>181</v>
      </c>
      <c r="C9" s="28" t="s">
        <v>182</v>
      </c>
    </row>
    <row r="10" customFormat="false" ht="17.15" hidden="false" customHeight="false" outlineLevel="0" collapsed="false">
      <c r="A10" s="29" t="s">
        <v>183</v>
      </c>
      <c r="B10" s="29" t="s">
        <v>184</v>
      </c>
      <c r="C10" s="28" t="s">
        <v>185</v>
      </c>
    </row>
    <row r="11" customFormat="false" ht="17.15" hidden="false" customHeight="false" outlineLevel="0" collapsed="false">
      <c r="A11" s="29" t="s">
        <v>186</v>
      </c>
      <c r="B11" s="29" t="s">
        <v>187</v>
      </c>
      <c r="C11" s="28" t="s">
        <v>188</v>
      </c>
    </row>
    <row r="12" customFormat="false" ht="17.15" hidden="false" customHeight="false" outlineLevel="0" collapsed="false">
      <c r="A12" s="29" t="s">
        <v>189</v>
      </c>
      <c r="B12" s="29" t="s">
        <v>190</v>
      </c>
      <c r="C12" s="28" t="s">
        <v>191</v>
      </c>
    </row>
    <row r="13" customFormat="false" ht="17.15" hidden="false" customHeight="false" outlineLevel="0" collapsed="false">
      <c r="A13" s="29" t="s">
        <v>192</v>
      </c>
      <c r="B13" s="29" t="s">
        <v>193</v>
      </c>
      <c r="C13" s="28" t="s">
        <v>194</v>
      </c>
    </row>
    <row r="14" customFormat="false" ht="17.15" hidden="false" customHeight="false" outlineLevel="0" collapsed="false">
      <c r="A14" s="29" t="s">
        <v>195</v>
      </c>
      <c r="B14" s="28"/>
      <c r="C14" s="28" t="s">
        <v>196</v>
      </c>
    </row>
    <row r="15" customFormat="false" ht="15" hidden="false" customHeight="false" outlineLevel="0" collapsed="false">
      <c r="A15" s="28"/>
      <c r="B15" s="28"/>
      <c r="C15" s="28"/>
    </row>
    <row r="16" customFormat="false" ht="17.15" hidden="false" customHeight="false" outlineLevel="0" collapsed="false">
      <c r="A16" s="30" t="s">
        <v>197</v>
      </c>
      <c r="B16" s="30"/>
      <c r="C16" s="30"/>
    </row>
    <row r="17" customFormat="false" ht="17.15" hidden="false" customHeight="false" outlineLevel="0" collapsed="false">
      <c r="A17" s="29" t="s">
        <v>26</v>
      </c>
      <c r="B17" s="28" t="s">
        <v>198</v>
      </c>
      <c r="C17" s="28"/>
    </row>
    <row r="18" customFormat="false" ht="17.15" hidden="false" customHeight="false" outlineLevel="0" collapsed="false">
      <c r="A18" s="29" t="s">
        <v>27</v>
      </c>
      <c r="B18" s="29" t="s">
        <v>199</v>
      </c>
      <c r="C18" s="28"/>
    </row>
    <row r="19" customFormat="false" ht="17.15" hidden="false" customHeight="false" outlineLevel="0" collapsed="false">
      <c r="A19" s="29" t="s">
        <v>200</v>
      </c>
      <c r="B19" s="28" t="s">
        <v>201</v>
      </c>
      <c r="C19" s="28"/>
    </row>
    <row r="20" customFormat="false" ht="32.8" hidden="false" customHeight="false" outlineLevel="0" collapsed="false">
      <c r="A20" s="29" t="s">
        <v>5</v>
      </c>
      <c r="B20" s="29" t="s">
        <v>202</v>
      </c>
      <c r="C20" s="28"/>
    </row>
    <row r="21" customFormat="false" ht="17.15" hidden="false" customHeight="false" outlineLevel="0" collapsed="false">
      <c r="A21" s="29" t="s">
        <v>203</v>
      </c>
      <c r="B21" s="28" t="s">
        <v>204</v>
      </c>
      <c r="C21" s="28"/>
    </row>
    <row r="22" customFormat="false" ht="15" hidden="false" customHeight="false" outlineLevel="0" collapsed="false">
      <c r="A22" s="28"/>
      <c r="B22" s="28"/>
      <c r="C22" s="28"/>
    </row>
    <row r="23" customFormat="false" ht="17.15" hidden="false" customHeight="false" outlineLevel="0" collapsed="false">
      <c r="A23" s="30" t="s">
        <v>205</v>
      </c>
      <c r="B23" s="30"/>
      <c r="C23" s="30"/>
    </row>
    <row r="24" customFormat="false" ht="29.85" hidden="false" customHeight="false" outlineLevel="0" collapsed="false">
      <c r="A24" s="29" t="s">
        <v>206</v>
      </c>
      <c r="B24" s="28" t="s">
        <v>207</v>
      </c>
      <c r="C24" s="28"/>
    </row>
    <row r="25" customFormat="false" ht="17.15" hidden="false" customHeight="false" outlineLevel="0" collapsed="false">
      <c r="A25" s="29" t="s">
        <v>208</v>
      </c>
      <c r="B25" s="28" t="s">
        <v>209</v>
      </c>
      <c r="C25" s="28"/>
    </row>
    <row r="26" customFormat="false" ht="17.15" hidden="false" customHeight="false" outlineLevel="0" collapsed="false">
      <c r="A26" s="29" t="s">
        <v>210</v>
      </c>
      <c r="B26" s="28" t="s">
        <v>211</v>
      </c>
      <c r="C26" s="28"/>
    </row>
    <row r="27" customFormat="false" ht="29.85" hidden="false" customHeight="false" outlineLevel="0" collapsed="false">
      <c r="A27" s="29" t="s">
        <v>50</v>
      </c>
      <c r="B27" s="28" t="s">
        <v>212</v>
      </c>
      <c r="C27" s="28"/>
    </row>
    <row r="28" customFormat="false" ht="29.85" hidden="false" customHeight="false" outlineLevel="0" collapsed="false">
      <c r="A28" s="29" t="s">
        <v>213</v>
      </c>
      <c r="B28" s="28" t="s">
        <v>214</v>
      </c>
      <c r="C28" s="28"/>
    </row>
    <row r="29" customFormat="false" ht="29.85" hidden="false" customHeight="false" outlineLevel="0" collapsed="false">
      <c r="A29" s="29" t="s">
        <v>215</v>
      </c>
      <c r="B29" s="28" t="s">
        <v>216</v>
      </c>
      <c r="C29" s="28"/>
    </row>
    <row r="30" customFormat="false" ht="17.15" hidden="false" customHeight="false" outlineLevel="0" collapsed="false">
      <c r="A30" s="29" t="s">
        <v>217</v>
      </c>
      <c r="B30" s="28" t="s">
        <v>218</v>
      </c>
      <c r="C30" s="28"/>
    </row>
    <row r="31" customFormat="false" ht="17.15" hidden="false" customHeight="false" outlineLevel="0" collapsed="false">
      <c r="A31" s="29" t="s">
        <v>219</v>
      </c>
      <c r="B31" s="28" t="s">
        <v>220</v>
      </c>
      <c r="C31" s="28"/>
    </row>
    <row r="32" customFormat="false" ht="17.15" hidden="false" customHeight="false" outlineLevel="0" collapsed="false">
      <c r="A32" s="29" t="s">
        <v>221</v>
      </c>
      <c r="B32" s="28" t="s">
        <v>222</v>
      </c>
      <c r="C32" s="28"/>
    </row>
    <row r="33" customFormat="false" ht="15" hidden="false" customHeight="false" outlineLevel="0" collapsed="false">
      <c r="A33" s="28"/>
      <c r="B33" s="28"/>
      <c r="C33" s="28"/>
    </row>
    <row r="34" customFormat="false" ht="17.15" hidden="false" customHeight="false" outlineLevel="0" collapsed="false">
      <c r="A34" s="30" t="s">
        <v>223</v>
      </c>
      <c r="B34" s="30"/>
      <c r="C34" s="30"/>
    </row>
    <row r="35" customFormat="false" ht="17.15" hidden="false" customHeight="false" outlineLevel="0" collapsed="false">
      <c r="A35" s="28" t="s">
        <v>224</v>
      </c>
      <c r="B35" s="29" t="s">
        <v>225</v>
      </c>
      <c r="C35" s="28"/>
    </row>
    <row r="36" customFormat="false" ht="17.15" hidden="false" customHeight="false" outlineLevel="0" collapsed="false">
      <c r="A36" s="28" t="s">
        <v>226</v>
      </c>
      <c r="B36" s="29" t="s">
        <v>227</v>
      </c>
      <c r="C36" s="28"/>
    </row>
    <row r="37" customFormat="false" ht="17.15" hidden="false" customHeight="false" outlineLevel="0" collapsed="false">
      <c r="A37" s="28" t="s">
        <v>228</v>
      </c>
      <c r="B37" s="29" t="s">
        <v>229</v>
      </c>
      <c r="C37" s="28"/>
    </row>
    <row r="38" customFormat="false" ht="17.15" hidden="false" customHeight="false" outlineLevel="0" collapsed="false">
      <c r="A38" s="28" t="s">
        <v>230</v>
      </c>
      <c r="B38" s="29" t="s">
        <v>231</v>
      </c>
      <c r="C38" s="28"/>
    </row>
    <row r="39" customFormat="false" ht="17.15" hidden="false" customHeight="false" outlineLevel="0" collapsed="false">
      <c r="A39" s="28" t="s">
        <v>232</v>
      </c>
      <c r="B39" s="29" t="s">
        <v>233</v>
      </c>
      <c r="C3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2026-10-20T04:27:19Z</dcterms:created>
  <dc:creator>openpyxl</dc:creator>
  <dc:description/>
  <dc:language>en-US</dc:language>
  <cp:lastModifiedBy/>
  <dcterms:modified xsi:type="dcterms:W3CDTF">2026-10-20T04:27:19Z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